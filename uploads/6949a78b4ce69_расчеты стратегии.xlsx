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C74C02-0115-4164-B407-1EBE61390897}" xr6:coauthVersionLast="47" xr6:coauthVersionMax="47" xr10:uidLastSave="{00000000-0000-0000-0000-000000000000}"/>
  <bookViews>
    <workbookView xWindow="-120" yWindow="-120" windowWidth="29040" windowHeight="16440" xr2:uid="{FF78D271-FE50-4CC1-AD39-F87CE43929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2" i="1" l="1"/>
  <c r="J72" i="1" s="1"/>
  <c r="G3" i="1"/>
  <c r="H3" i="1" s="1"/>
  <c r="G4" i="1"/>
  <c r="H4" i="1" s="1"/>
  <c r="G5" i="1"/>
  <c r="H5" i="1" s="1"/>
  <c r="G6" i="1"/>
  <c r="J6" i="1" s="1"/>
  <c r="G7" i="1"/>
  <c r="H7" i="1" s="1"/>
  <c r="G8" i="1"/>
  <c r="H8" i="1" s="1"/>
  <c r="G9" i="1"/>
  <c r="J9" i="1" s="1"/>
  <c r="G10" i="1"/>
  <c r="H10" i="1" s="1"/>
  <c r="G11" i="1"/>
  <c r="H11" i="1" s="1"/>
  <c r="G12" i="1"/>
  <c r="J12" i="1" s="1"/>
  <c r="G13" i="1"/>
  <c r="I13" i="1" s="1"/>
  <c r="G14" i="1"/>
  <c r="H14" i="1" s="1"/>
  <c r="G15" i="1"/>
  <c r="J15" i="1" s="1"/>
  <c r="G16" i="1"/>
  <c r="J16" i="1" s="1"/>
  <c r="G17" i="1"/>
  <c r="H17" i="1" s="1"/>
  <c r="G18" i="1"/>
  <c r="J18" i="1" s="1"/>
  <c r="G19" i="1"/>
  <c r="H19" i="1" s="1"/>
  <c r="G20" i="1"/>
  <c r="J20" i="1" s="1"/>
  <c r="G21" i="1"/>
  <c r="J21" i="1" s="1"/>
  <c r="G22" i="1"/>
  <c r="H22" i="1" s="1"/>
  <c r="G23" i="1"/>
  <c r="H23" i="1" s="1"/>
  <c r="G24" i="1"/>
  <c r="J24" i="1" s="1"/>
  <c r="G25" i="1"/>
  <c r="H25" i="1" s="1"/>
  <c r="G26" i="1"/>
  <c r="I26" i="1" s="1"/>
  <c r="G27" i="1"/>
  <c r="J27" i="1" s="1"/>
  <c r="G28" i="1"/>
  <c r="H28" i="1" s="1"/>
  <c r="G29" i="1"/>
  <c r="J29" i="1" s="1"/>
  <c r="G30" i="1"/>
  <c r="J30" i="1" s="1"/>
  <c r="G31" i="1"/>
  <c r="H31" i="1" s="1"/>
  <c r="G32" i="1"/>
  <c r="I32" i="1" s="1"/>
  <c r="G33" i="1"/>
  <c r="J33" i="1" s="1"/>
  <c r="G34" i="1"/>
  <c r="H34" i="1" s="1"/>
  <c r="G35" i="1"/>
  <c r="H35" i="1" s="1"/>
  <c r="G36" i="1"/>
  <c r="J36" i="1" s="1"/>
  <c r="G37" i="1"/>
  <c r="I37" i="1" s="1"/>
  <c r="G38" i="1"/>
  <c r="H38" i="1" s="1"/>
  <c r="G39" i="1"/>
  <c r="J39" i="1" s="1"/>
  <c r="G40" i="1"/>
  <c r="H40" i="1" s="1"/>
  <c r="G41" i="1"/>
  <c r="H41" i="1" s="1"/>
  <c r="G42" i="1"/>
  <c r="J42" i="1" s="1"/>
  <c r="G43" i="1"/>
  <c r="H43" i="1" s="1"/>
  <c r="G44" i="1"/>
  <c r="H44" i="1" s="1"/>
  <c r="G45" i="1"/>
  <c r="J45" i="1" s="1"/>
  <c r="G46" i="1"/>
  <c r="J46" i="1" s="1"/>
  <c r="G47" i="1"/>
  <c r="H47" i="1" s="1"/>
  <c r="G48" i="1"/>
  <c r="J48" i="1" s="1"/>
  <c r="G49" i="1"/>
  <c r="I49" i="1" s="1"/>
  <c r="G50" i="1"/>
  <c r="H50" i="1" s="1"/>
  <c r="G51" i="1"/>
  <c r="J51" i="1" s="1"/>
  <c r="G52" i="1"/>
  <c r="H52" i="1" s="1"/>
  <c r="G53" i="1"/>
  <c r="H53" i="1" s="1"/>
  <c r="G54" i="1"/>
  <c r="J54" i="1" s="1"/>
  <c r="G55" i="1"/>
  <c r="H55" i="1" s="1"/>
  <c r="G56" i="1"/>
  <c r="H56" i="1" s="1"/>
  <c r="G57" i="1"/>
  <c r="J57" i="1" s="1"/>
  <c r="G58" i="1"/>
  <c r="J58" i="1" s="1"/>
  <c r="G59" i="1"/>
  <c r="H59" i="1" s="1"/>
  <c r="G60" i="1"/>
  <c r="J60" i="1" s="1"/>
  <c r="G61" i="1"/>
  <c r="H61" i="1" s="1"/>
  <c r="G62" i="1"/>
  <c r="H62" i="1" s="1"/>
  <c r="G63" i="1"/>
  <c r="J63" i="1" s="1"/>
  <c r="G64" i="1"/>
  <c r="J64" i="1" s="1"/>
  <c r="G65" i="1"/>
  <c r="H65" i="1" s="1"/>
  <c r="G66" i="1"/>
  <c r="J66" i="1" s="1"/>
  <c r="G67" i="1"/>
  <c r="J67" i="1" s="1"/>
  <c r="G68" i="1"/>
  <c r="H68" i="1" s="1"/>
  <c r="G69" i="1"/>
  <c r="J69" i="1" s="1"/>
  <c r="G70" i="1"/>
  <c r="H70" i="1" s="1"/>
  <c r="G71" i="1"/>
  <c r="J71" i="1" s="1"/>
  <c r="G2" i="1"/>
  <c r="J2" i="1" s="1"/>
  <c r="I72" i="1" l="1"/>
  <c r="H72" i="1"/>
  <c r="I22" i="1"/>
  <c r="J32" i="1"/>
  <c r="H54" i="1"/>
  <c r="I19" i="1"/>
  <c r="I39" i="1"/>
  <c r="H63" i="1"/>
  <c r="I9" i="1"/>
  <c r="H67" i="1"/>
  <c r="I25" i="1"/>
  <c r="J5" i="1"/>
  <c r="I16" i="1"/>
  <c r="I33" i="1"/>
  <c r="H16" i="1"/>
  <c r="J22" i="1"/>
  <c r="H32" i="1"/>
  <c r="H24" i="1"/>
  <c r="J7" i="1"/>
  <c r="I67" i="1"/>
  <c r="H49" i="1"/>
  <c r="J55" i="1"/>
  <c r="J28" i="1"/>
  <c r="I55" i="1"/>
  <c r="J35" i="1"/>
  <c r="I28" i="1"/>
  <c r="I48" i="1"/>
  <c r="H48" i="1"/>
  <c r="H15" i="1"/>
  <c r="J62" i="1"/>
  <c r="I8" i="1"/>
  <c r="I66" i="1"/>
  <c r="H66" i="1"/>
  <c r="H60" i="1"/>
  <c r="H39" i="1"/>
  <c r="J25" i="1"/>
  <c r="J19" i="1"/>
  <c r="J53" i="1"/>
  <c r="I71" i="1"/>
  <c r="I65" i="1"/>
  <c r="I53" i="1"/>
  <c r="H45" i="1"/>
  <c r="J11" i="1"/>
  <c r="H71" i="1"/>
  <c r="I58" i="1"/>
  <c r="H37" i="1"/>
  <c r="I24" i="1"/>
  <c r="I18" i="1"/>
  <c r="I11" i="1"/>
  <c r="J4" i="1"/>
  <c r="I64" i="1"/>
  <c r="J44" i="1"/>
  <c r="H64" i="1"/>
  <c r="H57" i="1"/>
  <c r="I44" i="1"/>
  <c r="H29" i="1"/>
  <c r="I7" i="1"/>
  <c r="J59" i="1"/>
  <c r="H42" i="1"/>
  <c r="H36" i="1"/>
  <c r="J31" i="1"/>
  <c r="I21" i="1"/>
  <c r="I5" i="1"/>
  <c r="I70" i="1"/>
  <c r="J47" i="1"/>
  <c r="I31" i="1"/>
  <c r="H21" i="1"/>
  <c r="H58" i="1"/>
  <c r="I46" i="1"/>
  <c r="J40" i="1"/>
  <c r="I35" i="1"/>
  <c r="I30" i="1"/>
  <c r="I20" i="1"/>
  <c r="I63" i="1"/>
  <c r="J52" i="1"/>
  <c r="H46" i="1"/>
  <c r="I40" i="1"/>
  <c r="H30" i="1"/>
  <c r="H20" i="1"/>
  <c r="I15" i="1"/>
  <c r="J8" i="1"/>
  <c r="I6" i="1"/>
  <c r="H6" i="1"/>
  <c r="J56" i="1"/>
  <c r="J70" i="1"/>
  <c r="J65" i="1"/>
  <c r="I60" i="1"/>
  <c r="I56" i="1"/>
  <c r="I52" i="1"/>
  <c r="I47" i="1"/>
  <c r="I42" i="1"/>
  <c r="H26" i="1"/>
  <c r="H9" i="1"/>
  <c r="J38" i="1"/>
  <c r="J34" i="1"/>
  <c r="I38" i="1"/>
  <c r="I34" i="1"/>
  <c r="H13" i="1"/>
  <c r="J41" i="1"/>
  <c r="J49" i="1"/>
  <c r="I41" i="1"/>
  <c r="J37" i="1"/>
  <c r="I17" i="1"/>
  <c r="I12" i="1"/>
  <c r="J17" i="1"/>
  <c r="I54" i="1"/>
  <c r="I45" i="1"/>
  <c r="I29" i="1"/>
  <c r="H12" i="1"/>
  <c r="I59" i="1"/>
  <c r="H18" i="1"/>
  <c r="J14" i="1"/>
  <c r="I69" i="1"/>
  <c r="I62" i="1"/>
  <c r="I51" i="1"/>
  <c r="I27" i="1"/>
  <c r="I14" i="1"/>
  <c r="H69" i="1"/>
  <c r="H51" i="1"/>
  <c r="H27" i="1"/>
  <c r="I4" i="1"/>
  <c r="J10" i="1"/>
  <c r="J23" i="1"/>
  <c r="J68" i="1"/>
  <c r="I61" i="1"/>
  <c r="J50" i="1"/>
  <c r="I43" i="1"/>
  <c r="H33" i="1"/>
  <c r="J26" i="1"/>
  <c r="I23" i="1"/>
  <c r="J13" i="1"/>
  <c r="I10" i="1"/>
  <c r="J61" i="1"/>
  <c r="J43" i="1"/>
  <c r="I68" i="1"/>
  <c r="I57" i="1"/>
  <c r="I50" i="1"/>
  <c r="I36" i="1"/>
  <c r="I2" i="1"/>
  <c r="H2" i="1"/>
  <c r="J3" i="1"/>
  <c r="I3" i="1"/>
</calcChain>
</file>

<file path=xl/sharedStrings.xml><?xml version="1.0" encoding="utf-8"?>
<sst xmlns="http://schemas.openxmlformats.org/spreadsheetml/2006/main" count="214" uniqueCount="21">
  <si>
    <t xml:space="preserve">тело 1 </t>
  </si>
  <si>
    <t xml:space="preserve">хвост top 1 </t>
  </si>
  <si>
    <t>хвост bot 1</t>
  </si>
  <si>
    <t>bull/bear</t>
  </si>
  <si>
    <t>Profit ++</t>
  </si>
  <si>
    <t xml:space="preserve">Type </t>
  </si>
  <si>
    <t>+</t>
  </si>
  <si>
    <t>-</t>
  </si>
  <si>
    <t xml:space="preserve">могло бы быть </t>
  </si>
  <si>
    <t xml:space="preserve">убрать зависимомсть 3 свечи от тренда </t>
  </si>
  <si>
    <t xml:space="preserve">убрать зависимость 1-2 свеча расхождения </t>
  </si>
  <si>
    <t xml:space="preserve">попробывать сделать имбаланс в 150 пунктов </t>
  </si>
  <si>
    <t xml:space="preserve">трайлинг стоп сделать с фиксацией на 800 пунктов </t>
  </si>
  <si>
    <t>ограничить ибаланс не больше 600</t>
  </si>
  <si>
    <t xml:space="preserve">если нижний хвост = 0 то исключаем </t>
  </si>
  <si>
    <t>поробовать рассчитать тоже самое только параметр volume сосмещением в один бар и должен идти на уменьшение либо смена направления у бара 1</t>
  </si>
  <si>
    <t xml:space="preserve">или 1 свеча медвежья </t>
  </si>
  <si>
    <t xml:space="preserve">% ТЕЛА </t>
  </si>
  <si>
    <t xml:space="preserve">% top </t>
  </si>
  <si>
    <t>% bot</t>
  </si>
  <si>
    <t>Бар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</si>
</sst>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4" xfId="0" applyFont="1" applyFill="1" applyBorder="1"/>
    <xf numFmtId="1" fontId="0" fillId="3" borderId="5" xfId="0" applyNumberFormat="1" applyFont="1" applyFill="1" applyBorder="1"/>
    <xf numFmtId="1" fontId="0" fillId="3" borderId="6" xfId="0" applyNumberFormat="1" applyFont="1" applyFill="1" applyBorder="1"/>
    <xf numFmtId="0" fontId="0" fillId="0" borderId="4" xfId="0" applyFont="1" applyBorder="1"/>
    <xf numFmtId="1" fontId="0" fillId="0" borderId="5" xfId="0" applyNumberFormat="1" applyFont="1" applyBorder="1"/>
    <xf numFmtId="1" fontId="0" fillId="0" borderId="6" xfId="0" applyNumberFormat="1" applyFont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1" fillId="2" borderId="0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4" borderId="4" xfId="0" applyFont="1" applyFill="1" applyBorder="1"/>
    <xf numFmtId="1" fontId="0" fillId="4" borderId="5" xfId="0" applyNumberFormat="1" applyFont="1" applyFill="1" applyBorder="1"/>
    <xf numFmtId="1" fontId="0" fillId="4" borderId="6" xfId="0" applyNumberFormat="1" applyFont="1" applyFill="1" applyBorder="1"/>
    <xf numFmtId="0" fontId="0" fillId="5" borderId="0" xfId="0" applyFill="1"/>
    <xf numFmtId="0" fontId="0" fillId="5" borderId="5" xfId="0" applyFont="1" applyFill="1" applyBorder="1"/>
    <xf numFmtId="0" fontId="0" fillId="5" borderId="6" xfId="0" applyFont="1" applyFill="1" applyBorder="1"/>
    <xf numFmtId="0" fontId="0" fillId="5" borderId="4" xfId="0" applyFont="1" applyFill="1" applyBorder="1"/>
    <xf numFmtId="1" fontId="0" fillId="5" borderId="5" xfId="0" applyNumberFormat="1" applyFont="1" applyFill="1" applyBorder="1"/>
    <xf numFmtId="1" fontId="0" fillId="5" borderId="6" xfId="0" applyNumberFormat="1" applyFont="1" applyFill="1" applyBorder="1"/>
    <xf numFmtId="0" fontId="0" fillId="5" borderId="1" xfId="0" applyFont="1" applyFill="1" applyBorder="1"/>
    <xf numFmtId="1" fontId="0" fillId="5" borderId="2" xfId="0" applyNumberFormat="1" applyFont="1" applyFill="1" applyBorder="1"/>
    <xf numFmtId="1" fontId="0" fillId="5" borderId="3" xfId="0" applyNumberFormat="1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4" xfId="0" applyFont="1" applyFill="1" applyBorder="1"/>
    <xf numFmtId="1" fontId="0" fillId="0" borderId="5" xfId="0" applyNumberFormat="1" applyFont="1" applyFill="1" applyBorder="1"/>
    <xf numFmtId="1" fontId="0" fillId="0" borderId="6" xfId="0" applyNumberFormat="1" applyFont="1" applyFill="1" applyBorder="1"/>
    <xf numFmtId="0" fontId="0" fillId="0" borderId="0" xfId="0" applyFill="1"/>
  </cellXfs>
  <cellStyles count="1">
    <cellStyle name="Обычный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08D9A-88BD-4BB0-90C3-6CECDF187446}" name="Таблица1" displayName="Таблица1" ref="A1:J72" totalsRowShown="0" headerRowDxfId="0" tableBorderDxfId="7">
  <autoFilter ref="A1:J72" xr:uid="{39808D9A-88BD-4BB0-90C3-6CECDF187446}">
    <filterColumn colId="3">
      <filters>
        <filter val="-"/>
      </filters>
    </filterColumn>
    <filterColumn colId="7">
      <customFilters>
        <customFilter operator="greaterThan" val="20"/>
      </customFilters>
    </filterColumn>
    <filterColumn colId="9">
      <customFilters and="1">
        <customFilter operator="lessThan" val="30"/>
        <customFilter operator="greaterThan" val="2"/>
      </customFilters>
    </filterColumn>
  </autoFilter>
  <tableColumns count="10">
    <tableColumn id="1" xr3:uid="{A223BC8D-83A4-4474-8975-CD34F5DC40D0}" name="тело 1 " dataDxfId="6"/>
    <tableColumn id="2" xr3:uid="{1060CC5C-15A5-4D95-BAD8-1F185F1E202B}" name="хвост top 1 " dataDxfId="5"/>
    <tableColumn id="3" xr3:uid="{9A6D91F3-C307-4813-BCEF-8893828B340B}" name="хвост bot 1" dataDxfId="4"/>
    <tableColumn id="4" xr3:uid="{A0816C7D-B2BC-4459-8547-921F1280483C}" name="bull/bear" dataDxfId="3"/>
    <tableColumn id="5" xr3:uid="{1197ED59-F97E-4594-957A-DA30AB237534}" name="Profit ++" dataDxfId="2"/>
    <tableColumn id="6" xr3:uid="{D537EDD9-8A43-43B1-949D-41539E2FE825}" name="Type " dataDxfId="1"/>
    <tableColumn id="7" xr3:uid="{5ECB1D89-948F-4232-B923-2B05623C47C5}" name="Бар"/>
    <tableColumn id="8" xr3:uid="{A7C564FE-361F-497D-83A1-15304EFD06BF}" name="% ТЕЛА "/>
    <tableColumn id="9" xr3:uid="{9A3586A0-FAC6-4BCC-BB4E-6257C53A40DA}" name="% top "/>
    <tableColumn id="10" xr3:uid="{11B8540C-688D-40C5-80DA-2189528BD383}" name="% b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96ED-81FB-4391-AEA3-F145F2141BA9}">
  <dimension ref="A1:T72"/>
  <sheetViews>
    <sheetView tabSelected="1" workbookViewId="0">
      <selection activeCell="H80" sqref="H80"/>
    </sheetView>
  </sheetViews>
  <sheetFormatPr defaultRowHeight="14.25"/>
  <cols>
    <col min="2" max="2" width="13.125" customWidth="1"/>
    <col min="3" max="3" width="12.625" customWidth="1"/>
    <col min="4" max="4" width="10.5" customWidth="1"/>
    <col min="5" max="5" width="10.375" customWidth="1"/>
    <col min="8" max="8" width="10.375" customWidth="1"/>
    <col min="11" max="11" width="14.25" bestFit="1" customWidth="1"/>
  </cols>
  <sheetData>
    <row r="1" spans="1:1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3" t="s">
        <v>20</v>
      </c>
      <c r="H1" s="11" t="s">
        <v>17</v>
      </c>
      <c r="I1" s="11" t="s">
        <v>18</v>
      </c>
      <c r="J1" s="12" t="s">
        <v>19</v>
      </c>
      <c r="K1" t="s">
        <v>8</v>
      </c>
    </row>
    <row r="2" spans="1:19" hidden="1">
      <c r="A2" s="7">
        <v>105</v>
      </c>
      <c r="B2" s="7">
        <v>87</v>
      </c>
      <c r="C2" s="7">
        <v>50</v>
      </c>
      <c r="D2" s="7" t="s">
        <v>6</v>
      </c>
      <c r="E2" s="7">
        <v>400</v>
      </c>
      <c r="F2" s="8" t="s">
        <v>6</v>
      </c>
      <c r="G2" s="1">
        <f>Лист1!$A2+Лист1!$B2+Лист1!$C2</f>
        <v>242</v>
      </c>
      <c r="H2" s="2">
        <f>Лист1!$A2/G2*100</f>
        <v>43.388429752066116</v>
      </c>
      <c r="I2" s="2">
        <f>Лист1!$B2/G2*100</f>
        <v>35.950413223140501</v>
      </c>
      <c r="J2" s="3">
        <f>Лист1!$C2/G2*100</f>
        <v>20.66115702479339</v>
      </c>
    </row>
    <row r="3" spans="1:19" hidden="1">
      <c r="A3" s="9">
        <v>89</v>
      </c>
      <c r="B3" s="9">
        <v>76</v>
      </c>
      <c r="C3" s="9">
        <v>34</v>
      </c>
      <c r="D3" s="9" t="s">
        <v>6</v>
      </c>
      <c r="E3" s="9" t="s">
        <v>7</v>
      </c>
      <c r="F3" s="10" t="s">
        <v>7</v>
      </c>
      <c r="G3" s="4">
        <f>Лист1!$A3+Лист1!$B3+Лист1!$C3</f>
        <v>199</v>
      </c>
      <c r="H3" s="5">
        <f>Лист1!$A3/G3*100</f>
        <v>44.723618090452263</v>
      </c>
      <c r="I3" s="5">
        <f>Лист1!$B3/G3*100</f>
        <v>38.190954773869343</v>
      </c>
      <c r="J3" s="6">
        <f>Лист1!$C3/G3*100</f>
        <v>17.08542713567839</v>
      </c>
      <c r="S3" t="s">
        <v>9</v>
      </c>
    </row>
    <row r="4" spans="1:19" hidden="1">
      <c r="A4" s="7">
        <v>33</v>
      </c>
      <c r="B4" s="7">
        <v>41</v>
      </c>
      <c r="C4" s="7">
        <v>74</v>
      </c>
      <c r="D4" s="7" t="s">
        <v>7</v>
      </c>
      <c r="E4" s="7" t="s">
        <v>7</v>
      </c>
      <c r="F4" s="8" t="s">
        <v>7</v>
      </c>
      <c r="G4" s="1">
        <f>Лист1!$A4+Лист1!$B4+Лист1!$C4</f>
        <v>148</v>
      </c>
      <c r="H4" s="2">
        <f>Лист1!$A4/G4*100</f>
        <v>22.297297297297298</v>
      </c>
      <c r="I4" s="2">
        <f>Лист1!$B4/G4*100</f>
        <v>27.702702702702702</v>
      </c>
      <c r="J4" s="3">
        <f>Лист1!$C4/G4*100</f>
        <v>50</v>
      </c>
      <c r="S4" t="s">
        <v>10</v>
      </c>
    </row>
    <row r="5" spans="1:19" hidden="1">
      <c r="A5" s="9">
        <v>216</v>
      </c>
      <c r="B5" s="9">
        <v>25</v>
      </c>
      <c r="C5" s="9">
        <v>43</v>
      </c>
      <c r="D5" s="9" t="s">
        <v>6</v>
      </c>
      <c r="E5" s="9" t="s">
        <v>7</v>
      </c>
      <c r="F5" s="10" t="s">
        <v>7</v>
      </c>
      <c r="G5" s="4">
        <f>Лист1!$A5+Лист1!$B5+Лист1!$C5</f>
        <v>284</v>
      </c>
      <c r="H5" s="5">
        <f>Лист1!$A5/G5*100</f>
        <v>76.056338028169009</v>
      </c>
      <c r="I5" s="5">
        <f>Лист1!$B5/G5*100</f>
        <v>8.8028169014084501</v>
      </c>
      <c r="J5" s="6">
        <f>Лист1!$C5/G5*100</f>
        <v>15.140845070422534</v>
      </c>
      <c r="S5" t="s">
        <v>13</v>
      </c>
    </row>
    <row r="6" spans="1:19" hidden="1">
      <c r="A6" s="7">
        <v>20</v>
      </c>
      <c r="B6" s="7">
        <v>105</v>
      </c>
      <c r="C6" s="7">
        <v>134</v>
      </c>
      <c r="D6" s="7" t="s">
        <v>6</v>
      </c>
      <c r="E6" s="7">
        <v>800</v>
      </c>
      <c r="F6" s="8" t="s">
        <v>6</v>
      </c>
      <c r="G6" s="1">
        <f>Лист1!$A6+Лист1!$B6+Лист1!$C6</f>
        <v>259</v>
      </c>
      <c r="H6" s="2">
        <f>Лист1!$A6/G6*100</f>
        <v>7.7220077220077217</v>
      </c>
      <c r="I6" s="2">
        <f>Лист1!$B6/G6*100</f>
        <v>40.54054054054054</v>
      </c>
      <c r="J6" s="3">
        <f>Лист1!$C6/G6*100</f>
        <v>51.737451737451735</v>
      </c>
      <c r="S6" t="s">
        <v>11</v>
      </c>
    </row>
    <row r="7" spans="1:19" hidden="1">
      <c r="A7" s="9">
        <v>190</v>
      </c>
      <c r="B7" s="9">
        <v>133</v>
      </c>
      <c r="C7" s="9">
        <v>65</v>
      </c>
      <c r="D7" s="9" t="s">
        <v>6</v>
      </c>
      <c r="E7" s="9" t="s">
        <v>7</v>
      </c>
      <c r="F7" s="10" t="s">
        <v>7</v>
      </c>
      <c r="G7" s="4">
        <f>Лист1!$A7+Лист1!$B7+Лист1!$C7</f>
        <v>388</v>
      </c>
      <c r="H7" s="5">
        <f>Лист1!$A7/G7*100</f>
        <v>48.96907216494845</v>
      </c>
      <c r="I7" s="5">
        <f>Лист1!$B7/G7*100</f>
        <v>34.27835051546392</v>
      </c>
      <c r="J7" s="6">
        <f>Лист1!$C7/G7*100</f>
        <v>16.752577319587626</v>
      </c>
      <c r="S7" t="s">
        <v>12</v>
      </c>
    </row>
    <row r="8" spans="1:19" hidden="1">
      <c r="A8" s="7">
        <v>63</v>
      </c>
      <c r="B8" s="7">
        <v>109</v>
      </c>
      <c r="C8" s="7">
        <v>39</v>
      </c>
      <c r="D8" s="7" t="s">
        <v>6</v>
      </c>
      <c r="E8" s="7" t="s">
        <v>7</v>
      </c>
      <c r="F8" s="8" t="s">
        <v>7</v>
      </c>
      <c r="G8" s="1">
        <f>Лист1!$A8+Лист1!$B8+Лист1!$C8</f>
        <v>211</v>
      </c>
      <c r="H8" s="2">
        <f>Лист1!$A8/G8*100</f>
        <v>29.857819905213269</v>
      </c>
      <c r="I8" s="2">
        <f>Лист1!$B8/G8*100</f>
        <v>51.658767772511851</v>
      </c>
      <c r="J8" s="3">
        <f>Лист1!$C8/G8*100</f>
        <v>18.48341232227488</v>
      </c>
      <c r="S8" t="s">
        <v>14</v>
      </c>
    </row>
    <row r="9" spans="1:19" hidden="1">
      <c r="A9" s="9">
        <v>91</v>
      </c>
      <c r="B9" s="9">
        <v>54</v>
      </c>
      <c r="C9" s="9">
        <v>76</v>
      </c>
      <c r="D9" s="9" t="s">
        <v>7</v>
      </c>
      <c r="E9" s="9">
        <v>-10</v>
      </c>
      <c r="F9" s="10" t="s">
        <v>6</v>
      </c>
      <c r="G9" s="4">
        <f>Лист1!$A9+Лист1!$B9+Лист1!$C9</f>
        <v>221</v>
      </c>
      <c r="H9" s="5">
        <f>Лист1!$A9/G9*100</f>
        <v>41.17647058823529</v>
      </c>
      <c r="I9" s="5">
        <f>Лист1!$B9/G9*100</f>
        <v>24.434389140271492</v>
      </c>
      <c r="J9" s="6">
        <f>Лист1!$C9/G9*100</f>
        <v>34.389140271493211</v>
      </c>
    </row>
    <row r="10" spans="1:19" s="35" customFormat="1" hidden="1">
      <c r="A10" s="30">
        <v>98</v>
      </c>
      <c r="B10" s="30">
        <v>76</v>
      </c>
      <c r="C10" s="30">
        <v>0</v>
      </c>
      <c r="D10" s="30" t="s">
        <v>6</v>
      </c>
      <c r="E10" s="30" t="s">
        <v>7</v>
      </c>
      <c r="F10" s="31" t="s">
        <v>7</v>
      </c>
      <c r="G10" s="32">
        <f>Лист1!$A10+Лист1!$B10+Лист1!$C10</f>
        <v>174</v>
      </c>
      <c r="H10" s="33">
        <f>Лист1!$A10/G10*100</f>
        <v>56.321839080459768</v>
      </c>
      <c r="I10" s="33">
        <f>Лист1!$B10/G10*100</f>
        <v>43.678160919540232</v>
      </c>
      <c r="J10" s="34">
        <f>Лист1!$C10/G10*100</f>
        <v>0</v>
      </c>
      <c r="K10" s="35">
        <v>200</v>
      </c>
    </row>
    <row r="11" spans="1:19">
      <c r="A11" s="9">
        <v>220</v>
      </c>
      <c r="B11" s="9">
        <v>180</v>
      </c>
      <c r="C11" s="9">
        <v>96</v>
      </c>
      <c r="D11" s="9" t="s">
        <v>7</v>
      </c>
      <c r="E11" s="9" t="s">
        <v>7</v>
      </c>
      <c r="F11" s="10" t="s">
        <v>7</v>
      </c>
      <c r="G11" s="4">
        <f>Лист1!$A11+Лист1!$B11+Лист1!$C11</f>
        <v>496</v>
      </c>
      <c r="H11" s="5">
        <f>Лист1!$A11/G11*100</f>
        <v>44.354838709677416</v>
      </c>
      <c r="I11" s="5">
        <f>Лист1!$B11/G11*100</f>
        <v>36.29032258064516</v>
      </c>
      <c r="J11" s="6">
        <f>Лист1!$C11/G11*100</f>
        <v>19.35483870967742</v>
      </c>
    </row>
    <row r="12" spans="1:19" hidden="1">
      <c r="A12" s="7">
        <v>50</v>
      </c>
      <c r="B12" s="7">
        <v>26</v>
      </c>
      <c r="C12" s="7">
        <v>157</v>
      </c>
      <c r="D12" s="7" t="s">
        <v>6</v>
      </c>
      <c r="E12" s="7" t="s">
        <v>7</v>
      </c>
      <c r="F12" s="8" t="s">
        <v>7</v>
      </c>
      <c r="G12" s="1">
        <f>Лист1!$A12+Лист1!$B12+Лист1!$C12</f>
        <v>233</v>
      </c>
      <c r="H12" s="2">
        <f>Лист1!$A12/G12*100</f>
        <v>21.459227467811161</v>
      </c>
      <c r="I12" s="2">
        <f>Лист1!$B12/G12*100</f>
        <v>11.158798283261802</v>
      </c>
      <c r="J12" s="3">
        <f>Лист1!$C12/G12*100</f>
        <v>67.381974248927037</v>
      </c>
    </row>
    <row r="13" spans="1:19" hidden="1">
      <c r="A13" s="9">
        <v>20</v>
      </c>
      <c r="B13" s="9">
        <v>132</v>
      </c>
      <c r="C13" s="9">
        <v>24</v>
      </c>
      <c r="D13" s="9" t="s">
        <v>7</v>
      </c>
      <c r="E13" s="9" t="s">
        <v>7</v>
      </c>
      <c r="F13" s="10" t="s">
        <v>7</v>
      </c>
      <c r="G13" s="4">
        <f>Лист1!$A13+Лист1!$B13+Лист1!$C13</f>
        <v>176</v>
      </c>
      <c r="H13" s="5">
        <f>Лист1!$A13/G13*100</f>
        <v>11.363636363636363</v>
      </c>
      <c r="I13" s="5">
        <f>Лист1!$B13/G13*100</f>
        <v>75</v>
      </c>
      <c r="J13" s="6">
        <f>Лист1!$C13/G13*100</f>
        <v>13.636363636363635</v>
      </c>
      <c r="S13" t="s">
        <v>15</v>
      </c>
    </row>
    <row r="14" spans="1:19" hidden="1">
      <c r="A14" s="7">
        <v>60</v>
      </c>
      <c r="B14" s="7">
        <v>17</v>
      </c>
      <c r="C14" s="7">
        <v>110</v>
      </c>
      <c r="D14" s="7" t="s">
        <v>6</v>
      </c>
      <c r="E14" s="7" t="s">
        <v>7</v>
      </c>
      <c r="F14" s="8" t="s">
        <v>7</v>
      </c>
      <c r="G14" s="1">
        <f>Лист1!$A14+Лист1!$B14+Лист1!$C14</f>
        <v>187</v>
      </c>
      <c r="H14" s="2">
        <f>Лист1!$A14/G14*100</f>
        <v>32.085561497326204</v>
      </c>
      <c r="I14" s="2">
        <f>Лист1!$B14/G14*100</f>
        <v>9.0909090909090917</v>
      </c>
      <c r="J14" s="3">
        <f>Лист1!$C14/G14*100</f>
        <v>58.82352941176471</v>
      </c>
      <c r="S14" t="s">
        <v>16</v>
      </c>
    </row>
    <row r="15" spans="1:19" hidden="1">
      <c r="A15" s="9">
        <v>38</v>
      </c>
      <c r="B15" s="9">
        <v>60</v>
      </c>
      <c r="C15" s="9">
        <v>23</v>
      </c>
      <c r="D15" s="9" t="s">
        <v>6</v>
      </c>
      <c r="E15" s="9" t="s">
        <v>7</v>
      </c>
      <c r="F15" s="10" t="s">
        <v>7</v>
      </c>
      <c r="G15" s="4">
        <f>Лист1!$A15+Лист1!$B15+Лист1!$C15</f>
        <v>121</v>
      </c>
      <c r="H15" s="5">
        <f>Лист1!$A15/G15*100</f>
        <v>31.404958677685951</v>
      </c>
      <c r="I15" s="5">
        <f>Лист1!$B15/G15*100</f>
        <v>49.586776859504134</v>
      </c>
      <c r="J15" s="6">
        <f>Лист1!$C15/G15*100</f>
        <v>19.008264462809919</v>
      </c>
    </row>
    <row r="16" spans="1:19" hidden="1">
      <c r="A16" s="7">
        <v>201</v>
      </c>
      <c r="B16" s="7">
        <v>78</v>
      </c>
      <c r="C16" s="7">
        <v>25</v>
      </c>
      <c r="D16" s="7" t="s">
        <v>6</v>
      </c>
      <c r="E16" s="7">
        <v>700</v>
      </c>
      <c r="F16" s="8" t="s">
        <v>6</v>
      </c>
      <c r="G16" s="1">
        <f>Лист1!$A16+Лист1!$B16+Лист1!$C16</f>
        <v>304</v>
      </c>
      <c r="H16" s="2">
        <f>Лист1!$A16/G16*100</f>
        <v>66.118421052631575</v>
      </c>
      <c r="I16" s="2">
        <f>Лист1!$B16/G16*100</f>
        <v>25.657894736842106</v>
      </c>
      <c r="J16" s="3">
        <f>Лист1!$C16/G16*100</f>
        <v>8.2236842105263168</v>
      </c>
    </row>
    <row r="17" spans="1:20" s="19" customFormat="1" hidden="1">
      <c r="A17" s="20">
        <v>104</v>
      </c>
      <c r="B17" s="20">
        <v>78</v>
      </c>
      <c r="C17" s="20">
        <v>8</v>
      </c>
      <c r="D17" s="20" t="s">
        <v>6</v>
      </c>
      <c r="E17" s="20">
        <v>1500</v>
      </c>
      <c r="F17" s="21" t="s">
        <v>6</v>
      </c>
      <c r="G17" s="22">
        <f>Лист1!$A17+Лист1!$B17+Лист1!$C17</f>
        <v>190</v>
      </c>
      <c r="H17" s="23">
        <f>Лист1!$A17/G17*100</f>
        <v>54.736842105263165</v>
      </c>
      <c r="I17" s="23">
        <f>Лист1!$B17/G17*100</f>
        <v>41.05263157894737</v>
      </c>
      <c r="J17" s="24">
        <f>Лист1!$C17/G17*100</f>
        <v>4.2105263157894735</v>
      </c>
    </row>
    <row r="18" spans="1:20" hidden="1">
      <c r="A18" s="7">
        <v>63</v>
      </c>
      <c r="B18" s="7">
        <v>166</v>
      </c>
      <c r="C18" s="7">
        <v>1</v>
      </c>
      <c r="D18" s="7" t="s">
        <v>6</v>
      </c>
      <c r="E18" s="7" t="s">
        <v>7</v>
      </c>
      <c r="F18" s="8" t="s">
        <v>7</v>
      </c>
      <c r="G18" s="1">
        <f>Лист1!$A18+Лист1!$B18+Лист1!$C18</f>
        <v>230</v>
      </c>
      <c r="H18" s="2">
        <f>Лист1!$A18/G18*100</f>
        <v>27.391304347826086</v>
      </c>
      <c r="I18" s="2">
        <f>Лист1!$B18/G18*100</f>
        <v>72.173913043478265</v>
      </c>
      <c r="J18" s="3">
        <f>Лист1!$C18/G18*100</f>
        <v>0.43478260869565216</v>
      </c>
    </row>
    <row r="19" spans="1:20" hidden="1">
      <c r="A19" s="7">
        <v>27</v>
      </c>
      <c r="B19" s="7">
        <v>6</v>
      </c>
      <c r="C19" s="7">
        <v>153</v>
      </c>
      <c r="D19" s="7" t="s">
        <v>7</v>
      </c>
      <c r="E19" s="7">
        <v>200</v>
      </c>
      <c r="F19" s="8" t="s">
        <v>6</v>
      </c>
      <c r="G19" s="1">
        <f>Лист1!$A19+Лист1!$B19+Лист1!$C19</f>
        <v>186</v>
      </c>
      <c r="H19" s="2">
        <f>Лист1!$A19/G19*100</f>
        <v>14.516129032258066</v>
      </c>
      <c r="I19" s="2">
        <f>Лист1!$B19/G19*100</f>
        <v>3.225806451612903</v>
      </c>
      <c r="J19" s="3">
        <f>Лист1!$C19/G19*100</f>
        <v>82.258064516129039</v>
      </c>
    </row>
    <row r="20" spans="1:20" hidden="1">
      <c r="A20" s="7">
        <v>114</v>
      </c>
      <c r="B20" s="7">
        <v>75</v>
      </c>
      <c r="C20" s="7">
        <v>8</v>
      </c>
      <c r="D20" s="7" t="s">
        <v>6</v>
      </c>
      <c r="E20" s="7" t="s">
        <v>7</v>
      </c>
      <c r="F20" s="8" t="s">
        <v>7</v>
      </c>
      <c r="G20" s="1">
        <f>Лист1!$A20+Лист1!$B20+Лист1!$C20</f>
        <v>197</v>
      </c>
      <c r="H20" s="2">
        <f>Лист1!$A20/G20*100</f>
        <v>57.868020304568525</v>
      </c>
      <c r="I20" s="2">
        <f>Лист1!$B20/G20*100</f>
        <v>38.07106598984771</v>
      </c>
      <c r="J20" s="3">
        <f>Лист1!$C20/G20*100</f>
        <v>4.0609137055837561</v>
      </c>
    </row>
    <row r="21" spans="1:20" hidden="1">
      <c r="A21" s="9">
        <v>53</v>
      </c>
      <c r="B21" s="9">
        <v>75</v>
      </c>
      <c r="C21" s="9">
        <v>65</v>
      </c>
      <c r="D21" s="9" t="s">
        <v>6</v>
      </c>
      <c r="E21" s="9" t="s">
        <v>7</v>
      </c>
      <c r="F21" s="10" t="s">
        <v>7</v>
      </c>
      <c r="G21" s="4">
        <f>Лист1!$A21+Лист1!$B21+Лист1!$C21</f>
        <v>193</v>
      </c>
      <c r="H21" s="5">
        <f>Лист1!$A21/G21*100</f>
        <v>27.461139896373055</v>
      </c>
      <c r="I21" s="5">
        <f>Лист1!$B21/G21*100</f>
        <v>38.860103626943001</v>
      </c>
      <c r="J21" s="6">
        <f>Лист1!$C21/G21*100</f>
        <v>33.678756476683937</v>
      </c>
    </row>
    <row r="22" spans="1:20" hidden="1">
      <c r="A22" s="7">
        <v>35</v>
      </c>
      <c r="B22" s="7">
        <v>71</v>
      </c>
      <c r="C22" s="7">
        <v>27</v>
      </c>
      <c r="D22" s="7" t="s">
        <v>6</v>
      </c>
      <c r="E22" s="7">
        <v>100</v>
      </c>
      <c r="F22" s="8" t="s">
        <v>6</v>
      </c>
      <c r="G22" s="1">
        <f>Лист1!$A22+Лист1!$B22+Лист1!$C22</f>
        <v>133</v>
      </c>
      <c r="H22" s="2">
        <f>Лист1!$A22/G22*100</f>
        <v>26.315789473684209</v>
      </c>
      <c r="I22" s="2">
        <f>Лист1!$B22/G22*100</f>
        <v>53.383458646616546</v>
      </c>
      <c r="J22" s="3">
        <f>Лист1!$C22/G22*100</f>
        <v>20.300751879699249</v>
      </c>
    </row>
    <row r="23" spans="1:20" hidden="1">
      <c r="A23" s="9">
        <v>285</v>
      </c>
      <c r="B23" s="9">
        <v>156</v>
      </c>
      <c r="C23" s="9">
        <v>56</v>
      </c>
      <c r="D23" s="9" t="s">
        <v>6</v>
      </c>
      <c r="E23" s="9" t="s">
        <v>7</v>
      </c>
      <c r="F23" s="10" t="s">
        <v>7</v>
      </c>
      <c r="G23" s="4">
        <f>Лист1!$A23+Лист1!$B23+Лист1!$C23</f>
        <v>497</v>
      </c>
      <c r="H23" s="5">
        <f>Лист1!$A23/G23*100</f>
        <v>57.344064386317903</v>
      </c>
      <c r="I23" s="5">
        <f>Лист1!$B23/G23*100</f>
        <v>31.388329979879277</v>
      </c>
      <c r="J23" s="6">
        <f>Лист1!$C23/G23*100</f>
        <v>11.267605633802818</v>
      </c>
      <c r="K23">
        <v>300</v>
      </c>
    </row>
    <row r="24" spans="1:20" hidden="1">
      <c r="A24" s="7">
        <v>331</v>
      </c>
      <c r="B24" s="7">
        <v>88</v>
      </c>
      <c r="C24" s="7">
        <v>8</v>
      </c>
      <c r="D24" s="7" t="s">
        <v>6</v>
      </c>
      <c r="E24" s="7" t="s">
        <v>7</v>
      </c>
      <c r="F24" s="8" t="s">
        <v>7</v>
      </c>
      <c r="G24" s="1">
        <f>Лист1!$A24+Лист1!$B24+Лист1!$C24</f>
        <v>427</v>
      </c>
      <c r="H24" s="2">
        <f>Лист1!$A24/G24*100</f>
        <v>77.517564402810308</v>
      </c>
      <c r="I24" s="2">
        <f>Лист1!$B24/G24*100</f>
        <v>20.608899297423889</v>
      </c>
      <c r="J24" s="3">
        <f>Лист1!$C24/G24*100</f>
        <v>1.873536299765808</v>
      </c>
      <c r="K24">
        <v>250</v>
      </c>
      <c r="T24">
        <v>230</v>
      </c>
    </row>
    <row r="25" spans="1:20" hidden="1">
      <c r="A25" s="7">
        <v>215</v>
      </c>
      <c r="B25" s="7">
        <v>9</v>
      </c>
      <c r="C25" s="7">
        <v>30</v>
      </c>
      <c r="D25" s="7" t="s">
        <v>6</v>
      </c>
      <c r="E25" s="7">
        <v>400</v>
      </c>
      <c r="F25" s="8" t="s">
        <v>6</v>
      </c>
      <c r="G25" s="1">
        <f>Лист1!$A25+Лист1!$B25+Лист1!$C25</f>
        <v>254</v>
      </c>
      <c r="H25" s="2">
        <f>Лист1!$A25/G25*100</f>
        <v>84.645669291338592</v>
      </c>
      <c r="I25" s="2">
        <f>Лист1!$B25/G25*100</f>
        <v>3.5433070866141732</v>
      </c>
      <c r="J25" s="3">
        <f>Лист1!$C25/G25*100</f>
        <v>11.811023622047244</v>
      </c>
    </row>
    <row r="26" spans="1:20" hidden="1">
      <c r="A26" s="7">
        <v>22</v>
      </c>
      <c r="B26" s="7">
        <v>95</v>
      </c>
      <c r="C26" s="7">
        <v>165</v>
      </c>
      <c r="D26" s="7" t="s">
        <v>6</v>
      </c>
      <c r="E26" s="7" t="s">
        <v>6</v>
      </c>
      <c r="F26" s="8" t="s">
        <v>6</v>
      </c>
      <c r="G26" s="1">
        <f>Лист1!$A26+Лист1!$B26+Лист1!$C26</f>
        <v>282</v>
      </c>
      <c r="H26" s="2">
        <f>Лист1!$A26/G26*100</f>
        <v>7.8014184397163122</v>
      </c>
      <c r="I26" s="2">
        <f>Лист1!$B26/G26*100</f>
        <v>33.687943262411345</v>
      </c>
      <c r="J26" s="3">
        <f>Лист1!$C26/G26*100</f>
        <v>58.51063829787234</v>
      </c>
    </row>
    <row r="27" spans="1:20" hidden="1">
      <c r="A27" s="7">
        <v>36</v>
      </c>
      <c r="B27" s="7">
        <v>215</v>
      </c>
      <c r="C27" s="7">
        <v>50</v>
      </c>
      <c r="D27" s="7" t="s">
        <v>7</v>
      </c>
      <c r="E27" s="7">
        <v>400</v>
      </c>
      <c r="F27" s="8" t="s">
        <v>6</v>
      </c>
      <c r="G27" s="1">
        <f>Лист1!$A27+Лист1!$B27+Лист1!$C27</f>
        <v>301</v>
      </c>
      <c r="H27" s="2">
        <f>Лист1!$A27/G27*100</f>
        <v>11.960132890365449</v>
      </c>
      <c r="I27" s="2">
        <f>Лист1!$B27/G27*100</f>
        <v>71.428571428571431</v>
      </c>
      <c r="J27" s="3">
        <f>Лист1!$C27/G27*100</f>
        <v>16.611295681063122</v>
      </c>
    </row>
    <row r="28" spans="1:20" hidden="1">
      <c r="A28" s="7">
        <v>18</v>
      </c>
      <c r="B28" s="7">
        <v>110</v>
      </c>
      <c r="C28" s="7">
        <v>168</v>
      </c>
      <c r="D28" s="7" t="s">
        <v>7</v>
      </c>
      <c r="E28" s="7">
        <v>400</v>
      </c>
      <c r="F28" s="8" t="s">
        <v>7</v>
      </c>
      <c r="G28" s="1">
        <f>Лист1!$A28+Лист1!$B28+Лист1!$C28</f>
        <v>296</v>
      </c>
      <c r="H28" s="2">
        <f>Лист1!$A28/G28*100</f>
        <v>6.0810810810810816</v>
      </c>
      <c r="I28" s="2">
        <f>Лист1!$B28/G28*100</f>
        <v>37.162162162162161</v>
      </c>
      <c r="J28" s="3">
        <f>Лист1!$C28/G28*100</f>
        <v>56.756756756756758</v>
      </c>
    </row>
    <row r="29" spans="1:20" hidden="1">
      <c r="A29" s="9">
        <v>134</v>
      </c>
      <c r="B29" s="9">
        <v>67</v>
      </c>
      <c r="C29" s="9">
        <v>45</v>
      </c>
      <c r="D29" s="9" t="s">
        <v>6</v>
      </c>
      <c r="E29" s="9" t="s">
        <v>7</v>
      </c>
      <c r="F29" s="10" t="s">
        <v>7</v>
      </c>
      <c r="G29" s="4">
        <f>Лист1!$A29+Лист1!$B29+Лист1!$C29</f>
        <v>246</v>
      </c>
      <c r="H29" s="5">
        <f>Лист1!$A29/G29*100</f>
        <v>54.471544715447152</v>
      </c>
      <c r="I29" s="5">
        <f>Лист1!$B29/G29*100</f>
        <v>27.235772357723576</v>
      </c>
      <c r="J29" s="6">
        <f>Лист1!$C29/G29*100</f>
        <v>18.292682926829269</v>
      </c>
    </row>
    <row r="30" spans="1:20" hidden="1">
      <c r="A30" s="7">
        <v>77</v>
      </c>
      <c r="B30" s="7">
        <v>27</v>
      </c>
      <c r="C30" s="7">
        <v>0</v>
      </c>
      <c r="D30" s="7" t="s">
        <v>6</v>
      </c>
      <c r="E30" s="7" t="s">
        <v>7</v>
      </c>
      <c r="F30" s="8" t="s">
        <v>7</v>
      </c>
      <c r="G30" s="1">
        <f>Лист1!$A30+Лист1!$B30+Лист1!$C30</f>
        <v>104</v>
      </c>
      <c r="H30" s="2">
        <f>Лист1!$A30/G30*100</f>
        <v>74.038461538461547</v>
      </c>
      <c r="I30" s="2">
        <f>Лист1!$B30/G30*100</f>
        <v>25.961538461538463</v>
      </c>
      <c r="J30" s="3">
        <f>Лист1!$C30/G30*100</f>
        <v>0</v>
      </c>
    </row>
    <row r="31" spans="1:20" hidden="1">
      <c r="A31" s="9">
        <v>107</v>
      </c>
      <c r="B31" s="9">
        <v>61</v>
      </c>
      <c r="C31" s="9">
        <v>21</v>
      </c>
      <c r="D31" s="9" t="s">
        <v>6</v>
      </c>
      <c r="E31" s="9">
        <v>100</v>
      </c>
      <c r="F31" s="10" t="s">
        <v>6</v>
      </c>
      <c r="G31" s="4">
        <f>Лист1!$A31+Лист1!$B31+Лист1!$C31</f>
        <v>189</v>
      </c>
      <c r="H31" s="5">
        <f>Лист1!$A31/G31*100</f>
        <v>56.613756613756614</v>
      </c>
      <c r="I31" s="5">
        <f>Лист1!$B31/G31*100</f>
        <v>32.275132275132272</v>
      </c>
      <c r="J31" s="6">
        <f>Лист1!$C31/G31*100</f>
        <v>11.111111111111111</v>
      </c>
    </row>
    <row r="32" spans="1:20" hidden="1">
      <c r="A32" s="7">
        <v>303</v>
      </c>
      <c r="B32" s="7">
        <v>233</v>
      </c>
      <c r="C32" s="7">
        <v>69</v>
      </c>
      <c r="D32" s="7" t="s">
        <v>6</v>
      </c>
      <c r="E32" s="7">
        <v>1000</v>
      </c>
      <c r="F32" s="8" t="s">
        <v>6</v>
      </c>
      <c r="G32" s="1">
        <f>Лист1!$A32+Лист1!$B32+Лист1!$C32</f>
        <v>605</v>
      </c>
      <c r="H32" s="2">
        <f>Лист1!$A32/G32*100</f>
        <v>50.082644628099175</v>
      </c>
      <c r="I32" s="2">
        <f>Лист1!$B32/G32*100</f>
        <v>38.512396694214878</v>
      </c>
      <c r="J32" s="3">
        <f>Лист1!$C32/G32*100</f>
        <v>11.404958677685951</v>
      </c>
    </row>
    <row r="33" spans="1:11" hidden="1">
      <c r="A33" s="9">
        <v>169</v>
      </c>
      <c r="B33" s="9">
        <v>38</v>
      </c>
      <c r="C33" s="9">
        <v>69</v>
      </c>
      <c r="D33" s="9" t="s">
        <v>6</v>
      </c>
      <c r="E33" s="9">
        <v>1000</v>
      </c>
      <c r="F33" s="10" t="s">
        <v>6</v>
      </c>
      <c r="G33" s="4">
        <f>Лист1!$A33+Лист1!$B33+Лист1!$C33</f>
        <v>276</v>
      </c>
      <c r="H33" s="5">
        <f>Лист1!$A33/G33*100</f>
        <v>61.231884057971023</v>
      </c>
      <c r="I33" s="5">
        <f>Лист1!$B33/G33*100</f>
        <v>13.768115942028986</v>
      </c>
      <c r="J33" s="6">
        <f>Лист1!$C33/G33*100</f>
        <v>25</v>
      </c>
    </row>
    <row r="34" spans="1:11" hidden="1">
      <c r="A34" s="7">
        <v>56</v>
      </c>
      <c r="B34" s="7">
        <v>310</v>
      </c>
      <c r="C34" s="7">
        <v>25</v>
      </c>
      <c r="D34" s="7" t="s">
        <v>7</v>
      </c>
      <c r="E34" s="7" t="s">
        <v>7</v>
      </c>
      <c r="F34" s="8" t="s">
        <v>7</v>
      </c>
      <c r="G34" s="1">
        <f>Лист1!$A34+Лист1!$B34+Лист1!$C34</f>
        <v>391</v>
      </c>
      <c r="H34" s="2">
        <f>Лист1!$A34/G34*100</f>
        <v>14.322250639386189</v>
      </c>
      <c r="I34" s="2">
        <f>Лист1!$B34/G34*100</f>
        <v>79.283887468030684</v>
      </c>
      <c r="J34" s="3">
        <f>Лист1!$C34/G34*100</f>
        <v>6.3938618925831205</v>
      </c>
    </row>
    <row r="35" spans="1:11" hidden="1">
      <c r="A35" s="7">
        <v>196</v>
      </c>
      <c r="B35" s="7">
        <v>37</v>
      </c>
      <c r="C35" s="7">
        <v>28</v>
      </c>
      <c r="D35" s="7" t="s">
        <v>6</v>
      </c>
      <c r="E35" s="7">
        <v>500</v>
      </c>
      <c r="F35" s="8" t="s">
        <v>6</v>
      </c>
      <c r="G35" s="1">
        <f>Лист1!$A35+Лист1!$B35+Лист1!$C35</f>
        <v>261</v>
      </c>
      <c r="H35" s="2">
        <f>Лист1!$A35/G35*100</f>
        <v>75.095785440613028</v>
      </c>
      <c r="I35" s="2">
        <f>Лист1!$B35/G35*100</f>
        <v>14.17624521072797</v>
      </c>
      <c r="J35" s="3">
        <f>Лист1!$C35/G35*100</f>
        <v>10.727969348659004</v>
      </c>
    </row>
    <row r="36" spans="1:11" hidden="1">
      <c r="A36" s="7">
        <v>108</v>
      </c>
      <c r="B36" s="7">
        <v>87</v>
      </c>
      <c r="C36" s="7">
        <v>219</v>
      </c>
      <c r="D36" s="7" t="s">
        <v>7</v>
      </c>
      <c r="E36" s="7" t="s">
        <v>7</v>
      </c>
      <c r="F36" s="8" t="s">
        <v>7</v>
      </c>
      <c r="G36" s="1">
        <f>Лист1!$A36+Лист1!$B36+Лист1!$C36</f>
        <v>414</v>
      </c>
      <c r="H36" s="2">
        <f>Лист1!$A36/G36*100</f>
        <v>26.086956521739129</v>
      </c>
      <c r="I36" s="2">
        <f>Лист1!$B36/G36*100</f>
        <v>21.014492753623188</v>
      </c>
      <c r="J36" s="3">
        <f>Лист1!$C36/G36*100</f>
        <v>52.89855072463768</v>
      </c>
    </row>
    <row r="37" spans="1:11" hidden="1">
      <c r="A37" s="9">
        <v>55</v>
      </c>
      <c r="B37" s="9">
        <v>64</v>
      </c>
      <c r="C37" s="9">
        <v>172</v>
      </c>
      <c r="D37" s="9" t="s">
        <v>6</v>
      </c>
      <c r="E37" s="9" t="s">
        <v>7</v>
      </c>
      <c r="F37" s="10" t="s">
        <v>7</v>
      </c>
      <c r="G37" s="4">
        <f>Лист1!$A37+Лист1!$B37+Лист1!$C37</f>
        <v>291</v>
      </c>
      <c r="H37" s="5">
        <f>Лист1!$A37/G37*100</f>
        <v>18.900343642611684</v>
      </c>
      <c r="I37" s="5">
        <f>Лист1!$B37/G37*100</f>
        <v>21.993127147766323</v>
      </c>
      <c r="J37" s="6">
        <f>Лист1!$C37/G37*100</f>
        <v>59.106529209621996</v>
      </c>
      <c r="K37">
        <v>350</v>
      </c>
    </row>
    <row r="38" spans="1:11" hidden="1">
      <c r="A38" s="7">
        <v>9</v>
      </c>
      <c r="B38" s="7">
        <v>208</v>
      </c>
      <c r="C38" s="7">
        <v>48</v>
      </c>
      <c r="D38" s="7" t="s">
        <v>7</v>
      </c>
      <c r="E38" s="7" t="s">
        <v>7</v>
      </c>
      <c r="F38" s="8" t="s">
        <v>7</v>
      </c>
      <c r="G38" s="1">
        <f>Лист1!$A38+Лист1!$B38+Лист1!$C38</f>
        <v>265</v>
      </c>
      <c r="H38" s="2">
        <f>Лист1!$A38/G38*100</f>
        <v>3.3962264150943398</v>
      </c>
      <c r="I38" s="2">
        <f>Лист1!$B38/G38*100</f>
        <v>78.49056603773586</v>
      </c>
      <c r="J38" s="3">
        <f>Лист1!$C38/G38*100</f>
        <v>18.113207547169811</v>
      </c>
      <c r="K38">
        <v>150</v>
      </c>
    </row>
    <row r="39" spans="1:11" hidden="1">
      <c r="A39" s="9">
        <v>214</v>
      </c>
      <c r="B39" s="9">
        <v>67</v>
      </c>
      <c r="C39" s="9">
        <v>57</v>
      </c>
      <c r="D39" s="9" t="s">
        <v>6</v>
      </c>
      <c r="E39" s="9" t="s">
        <v>6</v>
      </c>
      <c r="F39" s="10" t="s">
        <v>6</v>
      </c>
      <c r="G39" s="4">
        <f>Лист1!$A39+Лист1!$B39+Лист1!$C39</f>
        <v>338</v>
      </c>
      <c r="H39" s="5">
        <f>Лист1!$A39/G39*100</f>
        <v>63.31360946745562</v>
      </c>
      <c r="I39" s="5">
        <f>Лист1!$B39/G39*100</f>
        <v>19.822485207100591</v>
      </c>
      <c r="J39" s="6">
        <f>Лист1!$C39/G39*100</f>
        <v>16.863905325443788</v>
      </c>
    </row>
    <row r="40" spans="1:11" hidden="1">
      <c r="A40" s="7">
        <v>414</v>
      </c>
      <c r="B40" s="7">
        <v>41</v>
      </c>
      <c r="C40" s="7">
        <v>129</v>
      </c>
      <c r="D40" s="7" t="s">
        <v>6</v>
      </c>
      <c r="E40" s="7" t="s">
        <v>7</v>
      </c>
      <c r="F40" s="8" t="s">
        <v>7</v>
      </c>
      <c r="G40" s="1">
        <f>Лист1!$A40+Лист1!$B40+Лист1!$C40</f>
        <v>584</v>
      </c>
      <c r="H40" s="2">
        <f>Лист1!$A40/G40*100</f>
        <v>70.890410958904098</v>
      </c>
      <c r="I40" s="2">
        <f>Лист1!$B40/G40*100</f>
        <v>7.0205479452054798</v>
      </c>
      <c r="J40" s="3">
        <f>Лист1!$C40/G40*100</f>
        <v>22.089041095890412</v>
      </c>
    </row>
    <row r="41" spans="1:11" hidden="1">
      <c r="A41" s="9">
        <v>2</v>
      </c>
      <c r="B41" s="9">
        <v>96</v>
      </c>
      <c r="C41" s="9">
        <v>146</v>
      </c>
      <c r="D41" s="9" t="s">
        <v>6</v>
      </c>
      <c r="E41" s="9" t="s">
        <v>7</v>
      </c>
      <c r="F41" s="10" t="s">
        <v>7</v>
      </c>
      <c r="G41" s="4">
        <f>Лист1!$A41+Лист1!$B41+Лист1!$C41</f>
        <v>244</v>
      </c>
      <c r="H41" s="5">
        <f>Лист1!$A41/G41*100</f>
        <v>0.81967213114754101</v>
      </c>
      <c r="I41" s="5">
        <f>Лист1!$B41/G41*100</f>
        <v>39.344262295081968</v>
      </c>
      <c r="J41" s="6">
        <f>Лист1!$C41/G41*100</f>
        <v>59.83606557377049</v>
      </c>
    </row>
    <row r="42" spans="1:11" hidden="1">
      <c r="A42" s="7">
        <v>85</v>
      </c>
      <c r="B42" s="7">
        <v>90</v>
      </c>
      <c r="C42" s="7">
        <v>62</v>
      </c>
      <c r="D42" s="7" t="s">
        <v>6</v>
      </c>
      <c r="E42" s="7" t="s">
        <v>7</v>
      </c>
      <c r="F42" s="8" t="s">
        <v>7</v>
      </c>
      <c r="G42" s="1">
        <f>Лист1!$A42+Лист1!$B42+Лист1!$C42</f>
        <v>237</v>
      </c>
      <c r="H42" s="2">
        <f>Лист1!$A42/G42*100</f>
        <v>35.864978902953588</v>
      </c>
      <c r="I42" s="2">
        <f>Лист1!$B42/G42*100</f>
        <v>37.974683544303801</v>
      </c>
      <c r="J42" s="3">
        <f>Лист1!$C42/G42*100</f>
        <v>26.160337552742618</v>
      </c>
    </row>
    <row r="43" spans="1:11" hidden="1">
      <c r="A43" s="7">
        <v>341</v>
      </c>
      <c r="B43" s="7">
        <v>55</v>
      </c>
      <c r="C43" s="7">
        <v>50</v>
      </c>
      <c r="D43" s="7" t="s">
        <v>6</v>
      </c>
      <c r="E43" s="7" t="s">
        <v>6</v>
      </c>
      <c r="F43" s="8" t="s">
        <v>6</v>
      </c>
      <c r="G43" s="1">
        <f>Лист1!$A43+Лист1!$B43+Лист1!$C43</f>
        <v>446</v>
      </c>
      <c r="H43" s="2">
        <f>Лист1!$A43/G43*100</f>
        <v>76.457399103139011</v>
      </c>
      <c r="I43" s="2">
        <f>Лист1!$B43/G43*100</f>
        <v>12.331838565022421</v>
      </c>
      <c r="J43" s="3">
        <f>Лист1!$C43/G43*100</f>
        <v>11.210762331838566</v>
      </c>
    </row>
    <row r="44" spans="1:11" hidden="1">
      <c r="A44" s="7">
        <v>56</v>
      </c>
      <c r="B44" s="7">
        <v>86</v>
      </c>
      <c r="C44" s="7">
        <v>49</v>
      </c>
      <c r="D44" s="7" t="s">
        <v>6</v>
      </c>
      <c r="E44" s="7" t="s">
        <v>7</v>
      </c>
      <c r="F44" s="8" t="s">
        <v>7</v>
      </c>
      <c r="G44" s="1">
        <f>Лист1!$A44+Лист1!$B44+Лист1!$C44</f>
        <v>191</v>
      </c>
      <c r="H44" s="2">
        <f>Лист1!$A44/G44*100</f>
        <v>29.319371727748688</v>
      </c>
      <c r="I44" s="2">
        <f>Лист1!$B44/G44*100</f>
        <v>45.026178010471199</v>
      </c>
      <c r="J44" s="3">
        <f>Лист1!$C44/G44*100</f>
        <v>25.654450261780106</v>
      </c>
    </row>
    <row r="45" spans="1:11" hidden="1">
      <c r="A45" s="9">
        <v>15</v>
      </c>
      <c r="B45" s="9">
        <v>269</v>
      </c>
      <c r="C45" s="9">
        <v>138</v>
      </c>
      <c r="D45" s="9" t="s">
        <v>7</v>
      </c>
      <c r="E45" s="9" t="s">
        <v>7</v>
      </c>
      <c r="F45" s="10" t="s">
        <v>7</v>
      </c>
      <c r="G45" s="4">
        <f>Лист1!$A45+Лист1!$B45+Лист1!$C45</f>
        <v>422</v>
      </c>
      <c r="H45" s="5">
        <f>Лист1!$A45/G45*100</f>
        <v>3.5545023696682465</v>
      </c>
      <c r="I45" s="5">
        <f>Лист1!$B45/G45*100</f>
        <v>63.744075829383881</v>
      </c>
      <c r="J45" s="6">
        <f>Лист1!$C45/G45*100</f>
        <v>32.70142180094787</v>
      </c>
      <c r="K45">
        <v>300</v>
      </c>
    </row>
    <row r="46" spans="1:11" s="19" customFormat="1" hidden="1">
      <c r="A46" s="14">
        <v>466</v>
      </c>
      <c r="B46" s="14">
        <v>372</v>
      </c>
      <c r="C46" s="14">
        <v>41</v>
      </c>
      <c r="D46" s="14" t="s">
        <v>6</v>
      </c>
      <c r="E46" s="14" t="s">
        <v>6</v>
      </c>
      <c r="F46" s="15" t="s">
        <v>6</v>
      </c>
      <c r="G46" s="16">
        <f>Лист1!$A46+Лист1!$B46+Лист1!$C46</f>
        <v>879</v>
      </c>
      <c r="H46" s="17">
        <f>Лист1!$A46/G46*100</f>
        <v>53.014789533560872</v>
      </c>
      <c r="I46" s="17">
        <f>Лист1!$B46/G46*100</f>
        <v>42.320819112627987</v>
      </c>
      <c r="J46" s="18">
        <f>Лист1!$C46/G46*100</f>
        <v>4.6643913538111486</v>
      </c>
    </row>
    <row r="47" spans="1:11" s="19" customFormat="1" hidden="1">
      <c r="A47" s="20">
        <v>70</v>
      </c>
      <c r="B47" s="20">
        <v>113</v>
      </c>
      <c r="C47" s="20">
        <v>24</v>
      </c>
      <c r="D47" s="20" t="s">
        <v>6</v>
      </c>
      <c r="E47" s="20" t="s">
        <v>6</v>
      </c>
      <c r="F47" s="21" t="s">
        <v>6</v>
      </c>
      <c r="G47" s="22">
        <f>Лист1!$A47+Лист1!$B47+Лист1!$C47</f>
        <v>207</v>
      </c>
      <c r="H47" s="23">
        <f>Лист1!$A47/G47*100</f>
        <v>33.816425120772948</v>
      </c>
      <c r="I47" s="23">
        <f>Лист1!$B47/G47*100</f>
        <v>54.589371980676326</v>
      </c>
      <c r="J47" s="24">
        <f>Лист1!$C47/G47*100</f>
        <v>11.594202898550725</v>
      </c>
    </row>
    <row r="48" spans="1:11" hidden="1">
      <c r="A48" s="7">
        <v>13</v>
      </c>
      <c r="B48" s="7">
        <v>62</v>
      </c>
      <c r="C48" s="7">
        <v>11</v>
      </c>
      <c r="D48" s="7" t="s">
        <v>7</v>
      </c>
      <c r="E48" s="7">
        <v>150</v>
      </c>
      <c r="F48" s="8" t="s">
        <v>7</v>
      </c>
      <c r="G48" s="1">
        <f>Лист1!$A48+Лист1!$B48+Лист1!$C48</f>
        <v>86</v>
      </c>
      <c r="H48" s="2">
        <f>Лист1!$A48/G48*100</f>
        <v>15.11627906976744</v>
      </c>
      <c r="I48" s="2">
        <f>Лист1!$B48/G48*100</f>
        <v>72.093023255813947</v>
      </c>
      <c r="J48" s="3">
        <f>Лист1!$C48/G48*100</f>
        <v>12.790697674418606</v>
      </c>
    </row>
    <row r="49" spans="1:11" hidden="1">
      <c r="A49" s="9">
        <v>176</v>
      </c>
      <c r="B49" s="9">
        <v>80</v>
      </c>
      <c r="C49" s="9">
        <v>3</v>
      </c>
      <c r="D49" s="9" t="s">
        <v>6</v>
      </c>
      <c r="E49" s="9" t="s">
        <v>7</v>
      </c>
      <c r="F49" s="10" t="s">
        <v>7</v>
      </c>
      <c r="G49" s="4">
        <f>Лист1!$A49+Лист1!$B49+Лист1!$C49</f>
        <v>259</v>
      </c>
      <c r="H49" s="5">
        <f>Лист1!$A49/G49*100</f>
        <v>67.953667953667946</v>
      </c>
      <c r="I49" s="5">
        <f>Лист1!$B49/G49*100</f>
        <v>30.888030888030887</v>
      </c>
      <c r="J49" s="6">
        <f>Лист1!$C49/G49*100</f>
        <v>1.1583011583011582</v>
      </c>
      <c r="K49">
        <v>300</v>
      </c>
    </row>
    <row r="50" spans="1:11" hidden="1">
      <c r="A50" s="7">
        <v>102</v>
      </c>
      <c r="B50" s="7">
        <v>131</v>
      </c>
      <c r="C50" s="7">
        <v>86</v>
      </c>
      <c r="D50" s="7" t="s">
        <v>6</v>
      </c>
      <c r="E50" s="7" t="s">
        <v>6</v>
      </c>
      <c r="F50" s="8" t="s">
        <v>6</v>
      </c>
      <c r="G50" s="1">
        <f>Лист1!$A50+Лист1!$B50+Лист1!$C50</f>
        <v>319</v>
      </c>
      <c r="H50" s="2">
        <f>Лист1!$A50/G50*100</f>
        <v>31.974921630094045</v>
      </c>
      <c r="I50" s="2">
        <f>Лист1!$B50/G50*100</f>
        <v>41.065830721003131</v>
      </c>
      <c r="J50" s="3">
        <f>Лист1!$C50/G50*100</f>
        <v>26.959247648902824</v>
      </c>
    </row>
    <row r="51" spans="1:11" s="19" customFormat="1" hidden="1">
      <c r="A51" s="20">
        <v>61</v>
      </c>
      <c r="B51" s="20">
        <v>79</v>
      </c>
      <c r="C51" s="20">
        <v>23</v>
      </c>
      <c r="D51" s="20" t="s">
        <v>6</v>
      </c>
      <c r="E51" s="20">
        <v>800</v>
      </c>
      <c r="F51" s="21" t="s">
        <v>6</v>
      </c>
      <c r="G51" s="22">
        <f>Лист1!$A51+Лист1!$B51+Лист1!$C51</f>
        <v>163</v>
      </c>
      <c r="H51" s="23">
        <f>Лист1!$A51/G51*100</f>
        <v>37.423312883435585</v>
      </c>
      <c r="I51" s="23">
        <f>Лист1!$B51/G51*100</f>
        <v>48.466257668711656</v>
      </c>
      <c r="J51" s="24">
        <f>Лист1!$C51/G51*100</f>
        <v>14.110429447852759</v>
      </c>
    </row>
    <row r="52" spans="1:11" s="19" customFormat="1">
      <c r="A52" s="14">
        <v>134</v>
      </c>
      <c r="B52" s="14">
        <v>65</v>
      </c>
      <c r="C52" s="14">
        <v>7</v>
      </c>
      <c r="D52" s="14" t="s">
        <v>7</v>
      </c>
      <c r="E52" s="14" t="s">
        <v>6</v>
      </c>
      <c r="F52" s="15" t="s">
        <v>6</v>
      </c>
      <c r="G52" s="16">
        <f>Лист1!$A52+Лист1!$B52+Лист1!$C52</f>
        <v>206</v>
      </c>
      <c r="H52" s="17">
        <f>Лист1!$A52/G52*100</f>
        <v>65.048543689320397</v>
      </c>
      <c r="I52" s="17">
        <f>Лист1!$B52/G52*100</f>
        <v>31.55339805825243</v>
      </c>
      <c r="J52" s="18">
        <f>Лист1!$C52/G52*100</f>
        <v>3.3980582524271843</v>
      </c>
    </row>
    <row r="53" spans="1:11" hidden="1">
      <c r="A53" s="7">
        <v>153</v>
      </c>
      <c r="B53" s="7">
        <v>122</v>
      </c>
      <c r="C53" s="7">
        <v>131</v>
      </c>
      <c r="D53" s="7" t="s">
        <v>7</v>
      </c>
      <c r="E53" s="7">
        <v>600</v>
      </c>
      <c r="F53" s="8" t="s">
        <v>6</v>
      </c>
      <c r="G53" s="1">
        <f>Лист1!$A53+Лист1!$B53+Лист1!$C53</f>
        <v>406</v>
      </c>
      <c r="H53" s="2">
        <f>Лист1!$A53/G53*100</f>
        <v>37.684729064039409</v>
      </c>
      <c r="I53" s="2">
        <f>Лист1!$B53/G53*100</f>
        <v>30.049261083743843</v>
      </c>
      <c r="J53" s="3">
        <f>Лист1!$C53/G53*100</f>
        <v>32.266009852216747</v>
      </c>
    </row>
    <row r="54" spans="1:11" s="19" customFormat="1" hidden="1">
      <c r="A54" s="14">
        <v>68</v>
      </c>
      <c r="B54" s="14">
        <v>92</v>
      </c>
      <c r="C54" s="14">
        <v>31</v>
      </c>
      <c r="D54" s="14" t="s">
        <v>6</v>
      </c>
      <c r="E54" s="14">
        <v>600</v>
      </c>
      <c r="F54" s="15" t="s">
        <v>6</v>
      </c>
      <c r="G54" s="16">
        <f>Лист1!$A54+Лист1!$B54+Лист1!$C54</f>
        <v>191</v>
      </c>
      <c r="H54" s="17">
        <f>Лист1!$A54/G54*100</f>
        <v>35.602094240837694</v>
      </c>
      <c r="I54" s="17">
        <f>Лист1!$B54/G54*100</f>
        <v>48.167539267015705</v>
      </c>
      <c r="J54" s="18">
        <f>Лист1!$C54/G54*100</f>
        <v>16.230366492146597</v>
      </c>
    </row>
    <row r="55" spans="1:11" s="19" customFormat="1">
      <c r="A55" s="20">
        <v>188</v>
      </c>
      <c r="B55" s="20">
        <v>7</v>
      </c>
      <c r="C55" s="20">
        <v>15</v>
      </c>
      <c r="D55" s="20" t="s">
        <v>7</v>
      </c>
      <c r="E55" s="20" t="s">
        <v>6</v>
      </c>
      <c r="F55" s="21" t="s">
        <v>6</v>
      </c>
      <c r="G55" s="22">
        <f>Лист1!$A55+Лист1!$B55+Лист1!$C55</f>
        <v>210</v>
      </c>
      <c r="H55" s="23">
        <f>Лист1!$A55/G55*100</f>
        <v>89.523809523809533</v>
      </c>
      <c r="I55" s="23">
        <f>Лист1!$B55/G55*100</f>
        <v>3.3333333333333335</v>
      </c>
      <c r="J55" s="24">
        <f>Лист1!$C55/G55*100</f>
        <v>7.1428571428571423</v>
      </c>
    </row>
    <row r="56" spans="1:11" hidden="1">
      <c r="A56" s="7">
        <v>103</v>
      </c>
      <c r="B56" s="7">
        <v>137</v>
      </c>
      <c r="C56" s="7">
        <v>58</v>
      </c>
      <c r="D56" s="7" t="s">
        <v>6</v>
      </c>
      <c r="E56" s="7" t="s">
        <v>7</v>
      </c>
      <c r="F56" s="8" t="s">
        <v>7</v>
      </c>
      <c r="G56" s="1">
        <f>Лист1!$A56+Лист1!$B56+Лист1!$C56</f>
        <v>298</v>
      </c>
      <c r="H56" s="2">
        <f>Лист1!$A56/G56*100</f>
        <v>34.563758389261743</v>
      </c>
      <c r="I56" s="2">
        <f>Лист1!$B56/G56*100</f>
        <v>45.973154362416111</v>
      </c>
      <c r="J56" s="3">
        <f>Лист1!$C56/G56*100</f>
        <v>19.463087248322147</v>
      </c>
    </row>
    <row r="57" spans="1:11" hidden="1">
      <c r="A57" s="9">
        <v>156</v>
      </c>
      <c r="B57" s="9">
        <v>32</v>
      </c>
      <c r="C57" s="9">
        <v>56</v>
      </c>
      <c r="D57" s="9" t="s">
        <v>6</v>
      </c>
      <c r="E57" s="9" t="s">
        <v>6</v>
      </c>
      <c r="F57" s="10" t="s">
        <v>6</v>
      </c>
      <c r="G57" s="4">
        <f>Лист1!$A57+Лист1!$B57+Лист1!$C57</f>
        <v>244</v>
      </c>
      <c r="H57" s="5">
        <f>Лист1!$A57/G57*100</f>
        <v>63.934426229508205</v>
      </c>
      <c r="I57" s="5">
        <f>Лист1!$B57/G57*100</f>
        <v>13.114754098360656</v>
      </c>
      <c r="J57" s="6">
        <f>Лист1!$C57/G57*100</f>
        <v>22.950819672131146</v>
      </c>
    </row>
    <row r="58" spans="1:11" hidden="1">
      <c r="A58" s="7">
        <v>396</v>
      </c>
      <c r="B58" s="7">
        <v>27</v>
      </c>
      <c r="C58" s="7">
        <v>90</v>
      </c>
      <c r="D58" s="7" t="s">
        <v>6</v>
      </c>
      <c r="E58" s="7" t="s">
        <v>7</v>
      </c>
      <c r="F58" s="8" t="s">
        <v>7</v>
      </c>
      <c r="G58" s="1">
        <f>Лист1!$A58+Лист1!$B58+Лист1!$C58</f>
        <v>513</v>
      </c>
      <c r="H58" s="2">
        <f>Лист1!$A58/G58*100</f>
        <v>77.192982456140342</v>
      </c>
      <c r="I58" s="2">
        <f>Лист1!$B58/G58*100</f>
        <v>5.2631578947368416</v>
      </c>
      <c r="J58" s="3">
        <f>Лист1!$C58/G58*100</f>
        <v>17.543859649122805</v>
      </c>
    </row>
    <row r="59" spans="1:11" hidden="1">
      <c r="A59" s="7">
        <v>239</v>
      </c>
      <c r="B59" s="7">
        <v>4</v>
      </c>
      <c r="C59" s="7">
        <v>80</v>
      </c>
      <c r="D59" s="7" t="s">
        <v>6</v>
      </c>
      <c r="E59" s="7" t="s">
        <v>6</v>
      </c>
      <c r="F59" s="8" t="s">
        <v>6</v>
      </c>
      <c r="G59" s="1">
        <f>Лист1!$A59+Лист1!$B59+Лист1!$C59</f>
        <v>323</v>
      </c>
      <c r="H59" s="2">
        <f>Лист1!$A59/G59*100</f>
        <v>73.993808049535602</v>
      </c>
      <c r="I59" s="2">
        <f>Лист1!$B59/G59*100</f>
        <v>1.2383900928792571</v>
      </c>
      <c r="J59" s="3">
        <f>Лист1!$C59/G59*100</f>
        <v>24.767801857585141</v>
      </c>
    </row>
    <row r="60" spans="1:11" hidden="1">
      <c r="A60" s="7">
        <v>21</v>
      </c>
      <c r="B60" s="7">
        <v>69</v>
      </c>
      <c r="C60" s="7">
        <v>47</v>
      </c>
      <c r="D60" s="7" t="s">
        <v>7</v>
      </c>
      <c r="E60" s="7" t="s">
        <v>7</v>
      </c>
      <c r="F60" s="8" t="s">
        <v>7</v>
      </c>
      <c r="G60" s="1">
        <f>Лист1!$A60+Лист1!$B60+Лист1!$C60</f>
        <v>137</v>
      </c>
      <c r="H60" s="2">
        <f>Лист1!$A60/G60*100</f>
        <v>15.328467153284672</v>
      </c>
      <c r="I60" s="2">
        <f>Лист1!$B60/G60*100</f>
        <v>50.364963503649641</v>
      </c>
      <c r="J60" s="3">
        <f>Лист1!$C60/G60*100</f>
        <v>34.306569343065696</v>
      </c>
      <c r="K60">
        <v>250</v>
      </c>
    </row>
    <row r="61" spans="1:11" hidden="1">
      <c r="A61" s="9">
        <v>52</v>
      </c>
      <c r="B61" s="9">
        <v>96</v>
      </c>
      <c r="C61" s="9">
        <v>138</v>
      </c>
      <c r="D61" s="9" t="s">
        <v>6</v>
      </c>
      <c r="E61" s="9" t="s">
        <v>7</v>
      </c>
      <c r="F61" s="10" t="s">
        <v>7</v>
      </c>
      <c r="G61" s="4">
        <f>Лист1!$A61+Лист1!$B61+Лист1!$C61</f>
        <v>286</v>
      </c>
      <c r="H61" s="5">
        <f>Лист1!$A61/G61*100</f>
        <v>18.181818181818183</v>
      </c>
      <c r="I61" s="5">
        <f>Лист1!$B61/G61*100</f>
        <v>33.566433566433567</v>
      </c>
      <c r="J61" s="6">
        <f>Лист1!$C61/G61*100</f>
        <v>48.251748251748253</v>
      </c>
      <c r="K61">
        <v>550</v>
      </c>
    </row>
    <row r="62" spans="1:11" hidden="1">
      <c r="A62" s="7">
        <v>440</v>
      </c>
      <c r="B62" s="7">
        <v>24</v>
      </c>
      <c r="C62" s="7">
        <v>6</v>
      </c>
      <c r="D62" s="7" t="s">
        <v>6</v>
      </c>
      <c r="E62" s="7" t="s">
        <v>7</v>
      </c>
      <c r="F62" s="8" t="s">
        <v>7</v>
      </c>
      <c r="G62" s="1">
        <f>Лист1!$A62+Лист1!$B62+Лист1!$C62</f>
        <v>470</v>
      </c>
      <c r="H62" s="2">
        <f>Лист1!$A62/G62*100</f>
        <v>93.61702127659575</v>
      </c>
      <c r="I62" s="2">
        <f>Лист1!$B62/G62*100</f>
        <v>5.1063829787234036</v>
      </c>
      <c r="J62" s="3">
        <f>Лист1!$C62/G62*100</f>
        <v>1.2765957446808509</v>
      </c>
    </row>
    <row r="63" spans="1:11" hidden="1">
      <c r="A63" s="9">
        <v>46</v>
      </c>
      <c r="B63" s="9">
        <v>47</v>
      </c>
      <c r="C63" s="9">
        <v>101</v>
      </c>
      <c r="D63" s="9" t="s">
        <v>6</v>
      </c>
      <c r="E63" s="9" t="s">
        <v>7</v>
      </c>
      <c r="F63" s="10" t="s">
        <v>7</v>
      </c>
      <c r="G63" s="4">
        <f>Лист1!$A63+Лист1!$B63+Лист1!$C63</f>
        <v>194</v>
      </c>
      <c r="H63" s="5">
        <f>Лист1!$A63/G63*100</f>
        <v>23.711340206185564</v>
      </c>
      <c r="I63" s="5">
        <f>Лист1!$B63/G63*100</f>
        <v>24.226804123711339</v>
      </c>
      <c r="J63" s="6">
        <f>Лист1!$C63/G63*100</f>
        <v>52.0618556701031</v>
      </c>
    </row>
    <row r="64" spans="1:11" hidden="1">
      <c r="A64" s="7">
        <v>8</v>
      </c>
      <c r="B64" s="7">
        <v>30</v>
      </c>
      <c r="C64" s="7">
        <v>66</v>
      </c>
      <c r="D64" s="7" t="s">
        <v>6</v>
      </c>
      <c r="E64" s="7" t="s">
        <v>7</v>
      </c>
      <c r="F64" s="8" t="s">
        <v>7</v>
      </c>
      <c r="G64" s="1">
        <f>Лист1!$A64+Лист1!$B64+Лист1!$C64</f>
        <v>104</v>
      </c>
      <c r="H64" s="2">
        <f>Лист1!$A64/G64*100</f>
        <v>7.6923076923076925</v>
      </c>
      <c r="I64" s="2">
        <f>Лист1!$B64/G64*100</f>
        <v>28.846153846153843</v>
      </c>
      <c r="J64" s="3">
        <f>Лист1!$C64/G64*100</f>
        <v>63.46153846153846</v>
      </c>
    </row>
    <row r="65" spans="1:11" hidden="1">
      <c r="A65" s="9">
        <v>28</v>
      </c>
      <c r="B65" s="9">
        <v>88</v>
      </c>
      <c r="C65" s="9">
        <v>65</v>
      </c>
      <c r="D65" s="9" t="s">
        <v>6</v>
      </c>
      <c r="E65" s="9" t="s">
        <v>6</v>
      </c>
      <c r="F65" s="10" t="s">
        <v>6</v>
      </c>
      <c r="G65" s="4">
        <f>Лист1!$A65+Лист1!$B65+Лист1!$C65</f>
        <v>181</v>
      </c>
      <c r="H65" s="5">
        <f>Лист1!$A65/G65*100</f>
        <v>15.469613259668508</v>
      </c>
      <c r="I65" s="5">
        <f>Лист1!$B65/G65*100</f>
        <v>48.618784530386741</v>
      </c>
      <c r="J65" s="6">
        <f>Лист1!$C65/G65*100</f>
        <v>35.911602209944753</v>
      </c>
    </row>
    <row r="66" spans="1:11" s="19" customFormat="1">
      <c r="A66" s="14">
        <v>169</v>
      </c>
      <c r="B66" s="14">
        <v>33</v>
      </c>
      <c r="C66" s="14">
        <v>53</v>
      </c>
      <c r="D66" s="14" t="s">
        <v>7</v>
      </c>
      <c r="E66" s="14" t="s">
        <v>6</v>
      </c>
      <c r="F66" s="15" t="s">
        <v>6</v>
      </c>
      <c r="G66" s="16">
        <f>Лист1!$A66+Лист1!$B66+Лист1!$C66</f>
        <v>255</v>
      </c>
      <c r="H66" s="17">
        <f>Лист1!$A66/G66*100</f>
        <v>66.274509803921561</v>
      </c>
      <c r="I66" s="17">
        <f>Лист1!$B66/G66*100</f>
        <v>12.941176470588237</v>
      </c>
      <c r="J66" s="18">
        <f>Лист1!$C66/G66*100</f>
        <v>20.784313725490197</v>
      </c>
    </row>
    <row r="67" spans="1:11" hidden="1">
      <c r="A67" s="9">
        <v>18</v>
      </c>
      <c r="B67" s="9">
        <v>11</v>
      </c>
      <c r="C67" s="9">
        <v>61</v>
      </c>
      <c r="D67" s="9" t="s">
        <v>6</v>
      </c>
      <c r="E67" s="9" t="s">
        <v>6</v>
      </c>
      <c r="F67" s="10" t="s">
        <v>6</v>
      </c>
      <c r="G67" s="4">
        <f>Лист1!$A67+Лист1!$B67+Лист1!$C67</f>
        <v>90</v>
      </c>
      <c r="H67" s="5">
        <f>Лист1!$A67/G67*100</f>
        <v>20</v>
      </c>
      <c r="I67" s="5">
        <f>Лист1!$B67/G67*100</f>
        <v>12.222222222222221</v>
      </c>
      <c r="J67" s="6">
        <f>Лист1!$C67/G67*100</f>
        <v>67.777777777777786</v>
      </c>
    </row>
    <row r="68" spans="1:11" s="19" customFormat="1" hidden="1">
      <c r="A68" s="14">
        <v>21</v>
      </c>
      <c r="B68" s="14">
        <v>239</v>
      </c>
      <c r="C68" s="14">
        <v>23</v>
      </c>
      <c r="D68" s="14" t="s">
        <v>6</v>
      </c>
      <c r="E68" s="14" t="s">
        <v>6</v>
      </c>
      <c r="F68" s="15" t="s">
        <v>6</v>
      </c>
      <c r="G68" s="16">
        <f>Лист1!$A68+Лист1!$B68+Лист1!$C68</f>
        <v>283</v>
      </c>
      <c r="H68" s="17">
        <f>Лист1!$A68/G68*100</f>
        <v>7.4204946996466434</v>
      </c>
      <c r="I68" s="17">
        <f>Лист1!$B68/G68*100</f>
        <v>84.452296819787989</v>
      </c>
      <c r="J68" s="18">
        <f>Лист1!$C68/G68*100</f>
        <v>8.1272084805653702</v>
      </c>
    </row>
    <row r="69" spans="1:11" s="19" customFormat="1" hidden="1">
      <c r="A69" s="20">
        <v>2</v>
      </c>
      <c r="B69" s="20">
        <v>208</v>
      </c>
      <c r="C69" s="20">
        <v>14</v>
      </c>
      <c r="D69" s="20" t="s">
        <v>6</v>
      </c>
      <c r="E69" s="20" t="s">
        <v>6</v>
      </c>
      <c r="F69" s="21" t="s">
        <v>6</v>
      </c>
      <c r="G69" s="22">
        <f>Лист1!$A69+Лист1!$B69+Лист1!$C69</f>
        <v>224</v>
      </c>
      <c r="H69" s="23">
        <f>Лист1!$A69/G69*100</f>
        <v>0.89285714285714279</v>
      </c>
      <c r="I69" s="23">
        <f>Лист1!$B69/G69*100</f>
        <v>92.857142857142861</v>
      </c>
      <c r="J69" s="24">
        <f>Лист1!$C69/G69*100</f>
        <v>6.25</v>
      </c>
    </row>
    <row r="70" spans="1:11" hidden="1">
      <c r="A70" s="7">
        <v>170</v>
      </c>
      <c r="B70" s="7">
        <v>149</v>
      </c>
      <c r="C70" s="7">
        <v>185</v>
      </c>
      <c r="D70" s="7" t="s">
        <v>6</v>
      </c>
      <c r="E70" s="7" t="s">
        <v>7</v>
      </c>
      <c r="F70" s="8" t="s">
        <v>7</v>
      </c>
      <c r="G70" s="1">
        <f>Лист1!$A70+Лист1!$B70+Лист1!$C70</f>
        <v>504</v>
      </c>
      <c r="H70" s="2">
        <f>Лист1!$A70/G70*100</f>
        <v>33.730158730158735</v>
      </c>
      <c r="I70" s="2">
        <f>Лист1!$B70/G70*100</f>
        <v>29.563492063492063</v>
      </c>
      <c r="J70" s="3">
        <f>Лист1!$C70/G70*100</f>
        <v>36.706349206349202</v>
      </c>
      <c r="K70">
        <v>600</v>
      </c>
    </row>
    <row r="71" spans="1:11" s="19" customFormat="1" hidden="1">
      <c r="A71" s="20">
        <v>18</v>
      </c>
      <c r="B71" s="20">
        <v>207</v>
      </c>
      <c r="C71" s="20">
        <v>16</v>
      </c>
      <c r="D71" s="20" t="s">
        <v>6</v>
      </c>
      <c r="E71" s="20" t="s">
        <v>6</v>
      </c>
      <c r="F71" s="21" t="s">
        <v>6</v>
      </c>
      <c r="G71" s="25">
        <f>Лист1!$A71+Лист1!$B71+Лист1!$C71</f>
        <v>241</v>
      </c>
      <c r="H71" s="26">
        <f>Лист1!$A71/G71*100</f>
        <v>7.4688796680497926</v>
      </c>
      <c r="I71" s="26">
        <f>Лист1!$B71/G71*100</f>
        <v>85.892116182572607</v>
      </c>
      <c r="J71" s="27">
        <f>Лист1!$C71/G71*100</f>
        <v>6.6390041493775938</v>
      </c>
    </row>
    <row r="72" spans="1:11" s="19" customFormat="1">
      <c r="A72" s="28">
        <v>65</v>
      </c>
      <c r="B72" s="28">
        <v>119</v>
      </c>
      <c r="C72" s="28">
        <v>26</v>
      </c>
      <c r="D72" s="28" t="s">
        <v>7</v>
      </c>
      <c r="E72" s="28" t="s">
        <v>6</v>
      </c>
      <c r="F72" s="29" t="s">
        <v>6</v>
      </c>
      <c r="G72" s="16">
        <f>Лист1!$A72+Лист1!$B72+Лист1!$C72</f>
        <v>210</v>
      </c>
      <c r="H72" s="17">
        <f>Лист1!$A72/G72*100</f>
        <v>30.952380952380953</v>
      </c>
      <c r="I72" s="17">
        <f>Лист1!$B72/G72*100</f>
        <v>56.666666666666664</v>
      </c>
      <c r="J72" s="18">
        <f>Лист1!$C72/G72*100</f>
        <v>12.380952380952381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klishvladimir92@mail.ru</dc:creator>
  <cp:lastModifiedBy>User</cp:lastModifiedBy>
  <dcterms:created xsi:type="dcterms:W3CDTF">2025-02-24T11:55:46Z</dcterms:created>
  <dcterms:modified xsi:type="dcterms:W3CDTF">2025-02-25T20:44:21Z</dcterms:modified>
</cp:coreProperties>
</file>