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FEADB3F-AC28-4C69-A6AD-1207FC83A3F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Общее" sheetId="4" r:id="rId1"/>
    <sheet name="Отдых" sheetId="6" r:id="rId2"/>
    <sheet name="Еда" sheetId="5" r:id="rId3"/>
    <sheet name="Одежда" sheetId="7" r:id="rId4"/>
    <sheet name="Заправка" sheetId="8" r:id="rId5"/>
    <sheet name="Зайка" sheetId="9" r:id="rId6"/>
    <sheet name="Вовчик" sheetId="12" r:id="rId7"/>
    <sheet name="Непредвиденные" sheetId="10" r:id="rId8"/>
    <sheet name="Машина 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" i="4" l="1"/>
  <c r="I2" i="8"/>
  <c r="M37" i="4"/>
  <c r="I2" i="5"/>
  <c r="I30" i="8"/>
  <c r="I2" i="6"/>
  <c r="I30" i="6"/>
  <c r="I31" i="5"/>
  <c r="I30" i="9"/>
  <c r="M42" i="4"/>
  <c r="I30" i="7"/>
  <c r="I29" i="8"/>
  <c r="I29" i="6"/>
  <c r="I30" i="5"/>
  <c r="M46" i="4"/>
  <c r="I29" i="9"/>
  <c r="I28" i="8"/>
  <c r="I29" i="5"/>
  <c r="M35" i="4"/>
  <c r="I28" i="9"/>
  <c r="I28" i="5"/>
  <c r="M41" i="4"/>
  <c r="I24" i="8"/>
  <c r="I27" i="5"/>
  <c r="I27" i="9"/>
  <c r="M11" i="4"/>
  <c r="I26" i="6"/>
  <c r="I26" i="5"/>
  <c r="I26" i="9"/>
  <c r="I23" i="5"/>
  <c r="M43" i="4"/>
  <c r="I25" i="5"/>
  <c r="I25" i="9"/>
  <c r="I23" i="6"/>
  <c r="I24" i="5"/>
  <c r="I23" i="8"/>
  <c r="M20" i="4"/>
  <c r="I22" i="8"/>
  <c r="I22" i="5"/>
  <c r="I22" i="9"/>
  <c r="K22" i="4"/>
  <c r="I21" i="5"/>
  <c r="K23" i="4"/>
  <c r="K37" i="4"/>
  <c r="G15" i="8"/>
  <c r="G20" i="9"/>
  <c r="G19" i="9"/>
  <c r="G19" i="5"/>
  <c r="G17" i="10"/>
  <c r="G17" i="5"/>
  <c r="G17" i="7"/>
  <c r="G16" i="5"/>
  <c r="G16" i="7"/>
  <c r="G16" i="9"/>
  <c r="K46" i="4"/>
  <c r="G15" i="5"/>
  <c r="G14" i="8"/>
  <c r="G14" i="5"/>
  <c r="G14" i="9"/>
  <c r="G13" i="5"/>
  <c r="G13" i="9"/>
  <c r="G12" i="5"/>
  <c r="G12" i="9"/>
  <c r="K48" i="4"/>
  <c r="G11" i="10"/>
  <c r="G11" i="9"/>
  <c r="G10" i="5"/>
  <c r="G9" i="5"/>
  <c r="G9" i="8"/>
  <c r="G9" i="6"/>
  <c r="G8" i="10"/>
  <c r="G8" i="7"/>
  <c r="G7" i="9"/>
  <c r="G7" i="5"/>
  <c r="K41" i="4"/>
  <c r="G6" i="6"/>
  <c r="G6" i="5"/>
  <c r="G5" i="5"/>
  <c r="G3" i="9"/>
  <c r="K20" i="4"/>
  <c r="G5" i="8"/>
  <c r="G4" i="5"/>
  <c r="G4" i="8"/>
  <c r="G3" i="10"/>
  <c r="G3" i="5"/>
  <c r="G2" i="5"/>
  <c r="G2" i="9"/>
  <c r="J44" i="4"/>
  <c r="G3" i="8"/>
  <c r="G2" i="8"/>
  <c r="G30" i="10"/>
  <c r="G31" i="8"/>
  <c r="G31" i="5"/>
  <c r="J46" i="4"/>
  <c r="G30" i="5"/>
  <c r="G30" i="9"/>
  <c r="G30" i="8"/>
  <c r="G29" i="6"/>
  <c r="G29" i="8"/>
  <c r="G29" i="9"/>
  <c r="G29" i="5"/>
  <c r="G28" i="5"/>
  <c r="G28" i="6"/>
  <c r="G28" i="9"/>
  <c r="G27" i="5"/>
  <c r="G27" i="8"/>
  <c r="G33" i="5"/>
  <c r="K36" i="4" s="1"/>
  <c r="G26" i="6"/>
  <c r="G26" i="10"/>
  <c r="G26" i="8"/>
  <c r="G26" i="5"/>
  <c r="G26" i="12"/>
  <c r="G25" i="5"/>
  <c r="K11" i="4"/>
  <c r="G25" i="9"/>
  <c r="G24" i="5"/>
  <c r="G24" i="9"/>
  <c r="G22" i="5"/>
  <c r="G22" i="8"/>
  <c r="G21" i="5"/>
  <c r="G23" i="5"/>
  <c r="G23" i="9"/>
  <c r="G22" i="9"/>
  <c r="G21" i="8"/>
  <c r="E18" i="7"/>
  <c r="I43" i="4"/>
  <c r="E19" i="5"/>
  <c r="E19" i="8"/>
  <c r="E19" i="9"/>
  <c r="E18" i="5"/>
  <c r="I23" i="4"/>
  <c r="E18" i="9"/>
  <c r="I41" i="4"/>
  <c r="E16" i="8"/>
  <c r="E16" i="5"/>
  <c r="I22" i="4"/>
  <c r="E16" i="9"/>
  <c r="I25" i="4"/>
  <c r="I46" i="4"/>
  <c r="I45" i="4" s="1"/>
  <c r="P2" i="4"/>
  <c r="Q2" i="4"/>
  <c r="R2" i="4"/>
  <c r="S2" i="4"/>
  <c r="S44" i="4" s="1"/>
  <c r="S50" i="4" s="1"/>
  <c r="P7" i="4"/>
  <c r="Q7" i="4"/>
  <c r="Q53" i="4" s="1"/>
  <c r="Q54" i="4" s="1"/>
  <c r="R7" i="4"/>
  <c r="S7" i="4"/>
  <c r="P12" i="4"/>
  <c r="Q12" i="4"/>
  <c r="R12" i="4"/>
  <c r="S12" i="4"/>
  <c r="P15" i="4"/>
  <c r="Q15" i="4"/>
  <c r="R15" i="4"/>
  <c r="S15" i="4"/>
  <c r="Q21" i="4"/>
  <c r="S21" i="4"/>
  <c r="P22" i="4"/>
  <c r="P21" i="4" s="1"/>
  <c r="P44" i="4" s="1"/>
  <c r="R22" i="4"/>
  <c r="R21" i="4" s="1"/>
  <c r="Q27" i="4"/>
  <c r="S27" i="4"/>
  <c r="Q28" i="4"/>
  <c r="S28" i="4"/>
  <c r="Q35" i="4"/>
  <c r="S35" i="4"/>
  <c r="Q36" i="4"/>
  <c r="S36" i="4"/>
  <c r="Q38" i="4"/>
  <c r="S38" i="4"/>
  <c r="Q44" i="4"/>
  <c r="Q50" i="4" s="1"/>
  <c r="Q45" i="4"/>
  <c r="S45" i="4"/>
  <c r="P46" i="4"/>
  <c r="P45" i="4" s="1"/>
  <c r="R46" i="4"/>
  <c r="R45" i="4" s="1"/>
  <c r="N2" i="4"/>
  <c r="O2" i="4"/>
  <c r="N7" i="4"/>
  <c r="O7" i="4"/>
  <c r="N12" i="4"/>
  <c r="O12" i="4"/>
  <c r="N15" i="4"/>
  <c r="O15" i="4"/>
  <c r="O44" i="4" s="1"/>
  <c r="O21" i="4"/>
  <c r="O53" i="4" s="1"/>
  <c r="N22" i="4"/>
  <c r="N21" i="4" s="1"/>
  <c r="N44" i="4" s="1"/>
  <c r="O27" i="4"/>
  <c r="O28" i="4"/>
  <c r="O35" i="4"/>
  <c r="O36" i="4"/>
  <c r="O38" i="4"/>
  <c r="O45" i="4"/>
  <c r="N46" i="4"/>
  <c r="N45" i="4" s="1"/>
  <c r="I33" i="10"/>
  <c r="K33" i="10"/>
  <c r="M33" i="10"/>
  <c r="O33" i="10"/>
  <c r="Q33" i="10"/>
  <c r="S33" i="10"/>
  <c r="U33" i="10"/>
  <c r="W33" i="10"/>
  <c r="Y33" i="10"/>
  <c r="I33" i="12"/>
  <c r="K33" i="12"/>
  <c r="M33" i="12"/>
  <c r="O33" i="12"/>
  <c r="Q33" i="12"/>
  <c r="S33" i="12"/>
  <c r="U33" i="12"/>
  <c r="W33" i="12"/>
  <c r="Y33" i="12"/>
  <c r="AA33" i="12"/>
  <c r="I33" i="9"/>
  <c r="M28" i="4" s="1"/>
  <c r="K33" i="9"/>
  <c r="M33" i="9"/>
  <c r="O33" i="9"/>
  <c r="Q33" i="9"/>
  <c r="S33" i="9"/>
  <c r="U33" i="9"/>
  <c r="W33" i="9"/>
  <c r="Y33" i="9"/>
  <c r="I33" i="7"/>
  <c r="M38" i="4" s="1"/>
  <c r="K33" i="7"/>
  <c r="M33" i="7"/>
  <c r="O33" i="7"/>
  <c r="Q33" i="7"/>
  <c r="S33" i="7"/>
  <c r="U33" i="7"/>
  <c r="W33" i="7"/>
  <c r="Y33" i="7"/>
  <c r="I33" i="5"/>
  <c r="M36" i="4" s="1"/>
  <c r="K33" i="5"/>
  <c r="M33" i="5"/>
  <c r="O33" i="5"/>
  <c r="Q33" i="5"/>
  <c r="S33" i="5"/>
  <c r="U33" i="5"/>
  <c r="W33" i="5"/>
  <c r="Y33" i="5"/>
  <c r="I33" i="6"/>
  <c r="K33" i="6"/>
  <c r="M33" i="6"/>
  <c r="O33" i="6"/>
  <c r="Q33" i="6"/>
  <c r="S33" i="6"/>
  <c r="U33" i="6"/>
  <c r="W33" i="6"/>
  <c r="Y33" i="6"/>
  <c r="K33" i="8"/>
  <c r="M33" i="8"/>
  <c r="O33" i="8"/>
  <c r="Q33" i="8"/>
  <c r="S33" i="8"/>
  <c r="U33" i="8"/>
  <c r="I33" i="8"/>
  <c r="M27" i="4" s="1"/>
  <c r="L2" i="4"/>
  <c r="M2" i="4"/>
  <c r="L7" i="4"/>
  <c r="M7" i="4"/>
  <c r="L12" i="4"/>
  <c r="M12" i="4"/>
  <c r="L15" i="4"/>
  <c r="M15" i="4"/>
  <c r="M21" i="4"/>
  <c r="L21" i="4"/>
  <c r="M45" i="4"/>
  <c r="L46" i="4"/>
  <c r="L45" i="4" s="1"/>
  <c r="E14" i="5"/>
  <c r="E14" i="8"/>
  <c r="E11" i="5"/>
  <c r="E11" i="8"/>
  <c r="E12" i="9"/>
  <c r="E11" i="9"/>
  <c r="E10" i="5"/>
  <c r="E10" i="9"/>
  <c r="E9" i="5"/>
  <c r="E9" i="9"/>
  <c r="E8" i="5"/>
  <c r="E8" i="8"/>
  <c r="E8" i="9"/>
  <c r="E7" i="5"/>
  <c r="E6" i="5"/>
  <c r="E6" i="8"/>
  <c r="I20" i="4"/>
  <c r="E5" i="8"/>
  <c r="E5" i="5"/>
  <c r="E5" i="9"/>
  <c r="E4" i="5"/>
  <c r="E4" i="9"/>
  <c r="E3" i="5"/>
  <c r="E3" i="8"/>
  <c r="E3" i="9"/>
  <c r="E2" i="5"/>
  <c r="E2" i="9"/>
  <c r="E29" i="5"/>
  <c r="I24" i="4"/>
  <c r="E28" i="5"/>
  <c r="E28" i="8"/>
  <c r="E27" i="5"/>
  <c r="E27" i="8"/>
  <c r="E26" i="5"/>
  <c r="H46" i="4"/>
  <c r="J2" i="4"/>
  <c r="K2" i="4"/>
  <c r="J7" i="4"/>
  <c r="K7" i="4"/>
  <c r="J12" i="4"/>
  <c r="K12" i="4"/>
  <c r="J15" i="4"/>
  <c r="K15" i="4"/>
  <c r="J21" i="4"/>
  <c r="K21" i="4"/>
  <c r="J45" i="4"/>
  <c r="K45" i="4"/>
  <c r="E24" i="5"/>
  <c r="I11" i="4"/>
  <c r="E23" i="8"/>
  <c r="E22" i="8"/>
  <c r="E20" i="12"/>
  <c r="E20" i="5"/>
  <c r="G33" i="10"/>
  <c r="K43" i="4" s="1"/>
  <c r="E33" i="10"/>
  <c r="G33" i="12"/>
  <c r="K35" i="4" s="1"/>
  <c r="E33" i="12"/>
  <c r="I35" i="4" s="1"/>
  <c r="G33" i="9"/>
  <c r="K28" i="4" s="1"/>
  <c r="E33" i="9"/>
  <c r="I28" i="4" s="1"/>
  <c r="G33" i="8"/>
  <c r="K27" i="4" s="1"/>
  <c r="E33" i="8"/>
  <c r="I27" i="4" s="1"/>
  <c r="G33" i="7"/>
  <c r="K38" i="4" s="1"/>
  <c r="E33" i="7"/>
  <c r="I38" i="4" s="1"/>
  <c r="G33" i="6"/>
  <c r="K39" i="4" s="1"/>
  <c r="E33" i="6"/>
  <c r="E33" i="5"/>
  <c r="I36" i="4" s="1"/>
  <c r="F12" i="4"/>
  <c r="H2" i="4"/>
  <c r="I2" i="4"/>
  <c r="H7" i="4"/>
  <c r="I7" i="4"/>
  <c r="H12" i="4"/>
  <c r="I12" i="4"/>
  <c r="H15" i="4"/>
  <c r="I15" i="4"/>
  <c r="I21" i="4"/>
  <c r="H21" i="4"/>
  <c r="I39" i="4"/>
  <c r="H45" i="4"/>
  <c r="B11" i="11"/>
  <c r="D2" i="11"/>
  <c r="C6" i="8"/>
  <c r="C4" i="8"/>
  <c r="G49" i="4"/>
  <c r="C6" i="5"/>
  <c r="G20" i="4"/>
  <c r="G15" i="4" s="1"/>
  <c r="C5" i="5"/>
  <c r="C4" i="5"/>
  <c r="C4" i="9"/>
  <c r="C3" i="9"/>
  <c r="C2" i="7"/>
  <c r="C2" i="6"/>
  <c r="C30" i="5"/>
  <c r="G46" i="4"/>
  <c r="C30" i="9"/>
  <c r="G23" i="4"/>
  <c r="C28" i="5"/>
  <c r="C19" i="12"/>
  <c r="C28" i="8"/>
  <c r="G25" i="4"/>
  <c r="C27" i="5"/>
  <c r="C26" i="8"/>
  <c r="C26" i="5"/>
  <c r="C24" i="8"/>
  <c r="C24" i="5"/>
  <c r="C24" i="9"/>
  <c r="C23" i="8"/>
  <c r="C23" i="9"/>
  <c r="C22" i="9"/>
  <c r="G41" i="4"/>
  <c r="C21" i="5"/>
  <c r="C21" i="9"/>
  <c r="C21" i="6"/>
  <c r="C20" i="12"/>
  <c r="C33" i="12" s="1"/>
  <c r="G35" i="4" s="1"/>
  <c r="C20" i="9"/>
  <c r="C20" i="8"/>
  <c r="C20" i="5"/>
  <c r="C19" i="5"/>
  <c r="E37" i="4"/>
  <c r="D33" i="12"/>
  <c r="B33" i="12"/>
  <c r="A33" i="12"/>
  <c r="F46" i="4"/>
  <c r="F45" i="4" s="1"/>
  <c r="E22" i="4"/>
  <c r="E10" i="4"/>
  <c r="F22" i="4"/>
  <c r="F21" i="4" s="1"/>
  <c r="F15" i="4"/>
  <c r="G12" i="4"/>
  <c r="G7" i="4"/>
  <c r="F7" i="4"/>
  <c r="G2" i="4"/>
  <c r="F2" i="4"/>
  <c r="B18" i="5"/>
  <c r="B16" i="8"/>
  <c r="E23" i="4"/>
  <c r="B17" i="5"/>
  <c r="B17" i="10"/>
  <c r="B17" i="8"/>
  <c r="B16" i="5"/>
  <c r="E46" i="4"/>
  <c r="B15" i="6"/>
  <c r="E9" i="4"/>
  <c r="B15" i="5"/>
  <c r="B15" i="10"/>
  <c r="B14" i="10"/>
  <c r="B14" i="5"/>
  <c r="B13" i="10"/>
  <c r="B13" i="5"/>
  <c r="K44" i="4" l="1"/>
  <c r="K50" i="4" s="1"/>
  <c r="P50" i="4"/>
  <c r="R44" i="4"/>
  <c r="R50" i="4" s="1"/>
  <c r="S53" i="4"/>
  <c r="S54" i="4" s="1"/>
  <c r="N50" i="4"/>
  <c r="O50" i="4"/>
  <c r="O54" i="4"/>
  <c r="M44" i="4"/>
  <c r="M50" i="4" s="1"/>
  <c r="M53" i="4"/>
  <c r="M54" i="4" s="1"/>
  <c r="L44" i="4"/>
  <c r="L50" i="4" s="1"/>
  <c r="J50" i="4"/>
  <c r="J41" i="4" s="1"/>
  <c r="K53" i="4"/>
  <c r="K54" i="4" s="1"/>
  <c r="H44" i="4"/>
  <c r="H50" i="4" s="1"/>
  <c r="I53" i="4"/>
  <c r="I54" i="4" s="1"/>
  <c r="I44" i="4"/>
  <c r="I50" i="4" s="1"/>
  <c r="G45" i="4"/>
  <c r="G21" i="4"/>
  <c r="F44" i="4"/>
  <c r="F50" i="4" s="1"/>
  <c r="B12" i="10"/>
  <c r="B12" i="5"/>
  <c r="B11" i="6"/>
  <c r="B11" i="9"/>
  <c r="B11" i="8"/>
  <c r="B10" i="5"/>
  <c r="B9" i="8"/>
  <c r="B9" i="5"/>
  <c r="B9" i="9"/>
  <c r="B8" i="6"/>
  <c r="B8" i="7"/>
  <c r="B8" i="5"/>
  <c r="B8" i="9"/>
  <c r="B8" i="8"/>
  <c r="B7" i="5"/>
  <c r="B7" i="10"/>
  <c r="B7" i="8"/>
  <c r="B7" i="6"/>
  <c r="B7" i="7"/>
  <c r="B6" i="5"/>
  <c r="E20" i="4"/>
  <c r="J43" i="4" l="1"/>
  <c r="J42" i="4"/>
  <c r="R39" i="4"/>
  <c r="R37" i="4"/>
  <c r="R42" i="4"/>
  <c r="R40" i="4"/>
  <c r="R41" i="4"/>
  <c r="R43" i="4"/>
  <c r="R38" i="4"/>
  <c r="P39" i="4"/>
  <c r="P40" i="4"/>
  <c r="P41" i="4"/>
  <c r="P37" i="4"/>
  <c r="P42" i="4"/>
  <c r="P38" i="4"/>
  <c r="P43" i="4"/>
  <c r="N37" i="4"/>
  <c r="N38" i="4"/>
  <c r="N39" i="4"/>
  <c r="N40" i="4"/>
  <c r="N41" i="4"/>
  <c r="N42" i="4"/>
  <c r="N43" i="4"/>
  <c r="L37" i="4"/>
  <c r="L39" i="4"/>
  <c r="L38" i="4"/>
  <c r="L40" i="4"/>
  <c r="L41" i="4"/>
  <c r="L42" i="4"/>
  <c r="L43" i="4"/>
  <c r="H42" i="4"/>
  <c r="H40" i="4"/>
  <c r="H38" i="4"/>
  <c r="H39" i="4"/>
  <c r="J40" i="4"/>
  <c r="J37" i="4"/>
  <c r="J38" i="4"/>
  <c r="J39" i="4"/>
  <c r="H43" i="4"/>
  <c r="H41" i="4"/>
  <c r="H37" i="4"/>
  <c r="E25" i="4"/>
  <c r="B2" i="9"/>
  <c r="B2" i="5"/>
  <c r="B3" i="8"/>
  <c r="E11" i="4"/>
  <c r="B21" i="8"/>
  <c r="B30" i="7"/>
  <c r="B5" i="8"/>
  <c r="B5" i="5"/>
  <c r="B5" i="9"/>
  <c r="B4" i="5"/>
  <c r="B3" i="9"/>
  <c r="B3" i="5"/>
  <c r="P56" i="4" l="1"/>
  <c r="R56" i="4"/>
  <c r="N56" i="4"/>
  <c r="L56" i="4"/>
  <c r="J56" i="4"/>
  <c r="H56" i="4"/>
  <c r="B2" i="10"/>
  <c r="B31" i="5"/>
  <c r="B31" i="7"/>
  <c r="C46" i="4"/>
  <c r="B29" i="5"/>
  <c r="B28" i="5"/>
  <c r="B28" i="8"/>
  <c r="B28" i="9"/>
  <c r="D46" i="4" l="1"/>
  <c r="B27" i="5"/>
  <c r="B27" i="9"/>
  <c r="B26" i="5"/>
  <c r="B26" i="9"/>
  <c r="B26" i="8"/>
  <c r="B33" i="8" s="1"/>
  <c r="B25" i="5"/>
  <c r="B25" i="9"/>
  <c r="B33" i="9" s="1"/>
  <c r="B24" i="6"/>
  <c r="B33" i="6" s="1"/>
  <c r="E39" i="4" s="1"/>
  <c r="B24" i="5"/>
  <c r="B24" i="7"/>
  <c r="B33" i="7" s="1"/>
  <c r="E38" i="4" s="1"/>
  <c r="B23" i="5"/>
  <c r="B22" i="8"/>
  <c r="B22" i="5"/>
  <c r="B21" i="5"/>
  <c r="D22" i="4"/>
  <c r="E12" i="4"/>
  <c r="D12" i="4"/>
  <c r="C33" i="5"/>
  <c r="G36" i="4" s="1"/>
  <c r="D33" i="5"/>
  <c r="B33" i="10"/>
  <c r="C33" i="10"/>
  <c r="G43" i="4" s="1"/>
  <c r="D33" i="10"/>
  <c r="C33" i="9"/>
  <c r="G28" i="4" s="1"/>
  <c r="D33" i="9"/>
  <c r="C33" i="8"/>
  <c r="G27" i="4" s="1"/>
  <c r="D33" i="8"/>
  <c r="C33" i="7"/>
  <c r="G38" i="4" s="1"/>
  <c r="D33" i="7"/>
  <c r="C33" i="6"/>
  <c r="D33" i="6"/>
  <c r="G39" i="4" s="1"/>
  <c r="A20" i="5"/>
  <c r="C6" i="4"/>
  <c r="C23" i="4"/>
  <c r="A21" i="9"/>
  <c r="A20" i="8"/>
  <c r="A19" i="5"/>
  <c r="A19" i="9"/>
  <c r="A18" i="5"/>
  <c r="G53" i="4" l="1"/>
  <c r="G54" i="4" s="1"/>
  <c r="G44" i="4"/>
  <c r="G50" i="4" s="1"/>
  <c r="B33" i="5"/>
  <c r="E36" i="4" s="1"/>
  <c r="D45" i="4"/>
  <c r="E45" i="4"/>
  <c r="E43" i="4"/>
  <c r="E28" i="4"/>
  <c r="E27" i="4"/>
  <c r="D21" i="4"/>
  <c r="E21" i="4"/>
  <c r="D15" i="4"/>
  <c r="E15" i="4"/>
  <c r="D7" i="4"/>
  <c r="E7" i="4"/>
  <c r="E2" i="4"/>
  <c r="D2" i="4"/>
  <c r="A18" i="9"/>
  <c r="A17" i="5"/>
  <c r="A18" i="7"/>
  <c r="C10" i="4"/>
  <c r="A16" i="5"/>
  <c r="A17" i="8"/>
  <c r="C25" i="4"/>
  <c r="C11" i="4"/>
  <c r="C22" i="4"/>
  <c r="A15" i="5"/>
  <c r="A16" i="10"/>
  <c r="A16" i="9"/>
  <c r="A16" i="8"/>
  <c r="D44" i="4" l="1"/>
  <c r="E53" i="4"/>
  <c r="E54" i="4" s="1"/>
  <c r="E44" i="4"/>
  <c r="E50" i="4" s="1"/>
  <c r="D50" i="4"/>
  <c r="C47" i="4"/>
  <c r="C9" i="4"/>
  <c r="A13" i="5"/>
  <c r="A12" i="5"/>
  <c r="A11" i="5"/>
  <c r="A10" i="5"/>
  <c r="A9" i="5"/>
  <c r="A8" i="8"/>
  <c r="A7" i="10"/>
  <c r="A7" i="8"/>
  <c r="A6" i="10"/>
  <c r="A33" i="10"/>
  <c r="C43" i="4" s="1"/>
  <c r="A6" i="9"/>
  <c r="A5" i="9"/>
  <c r="A5" i="5"/>
  <c r="A4" i="5"/>
  <c r="A14" i="6"/>
  <c r="A14" i="5"/>
  <c r="A13" i="6"/>
  <c r="A13" i="8"/>
  <c r="A12" i="8"/>
  <c r="A11" i="8"/>
  <c r="A9" i="9"/>
  <c r="D38" i="4" l="1"/>
  <c r="F43" i="4"/>
  <c r="F39" i="4"/>
  <c r="F42" i="4"/>
  <c r="F41" i="4"/>
  <c r="F38" i="4"/>
  <c r="F40" i="4"/>
  <c r="F37" i="4"/>
  <c r="D42" i="4"/>
  <c r="D43" i="4"/>
  <c r="D37" i="4"/>
  <c r="D40" i="4"/>
  <c r="D39" i="4"/>
  <c r="D41" i="4"/>
  <c r="A2" i="8"/>
  <c r="A3" i="5"/>
  <c r="A3" i="9"/>
  <c r="A2" i="6"/>
  <c r="A2" i="5"/>
  <c r="A2" i="9"/>
  <c r="C37" i="4"/>
  <c r="A30" i="5"/>
  <c r="A30" i="8"/>
  <c r="B48" i="4"/>
  <c r="C48" i="4"/>
  <c r="C45" i="4" s="1"/>
  <c r="A29" i="5"/>
  <c r="A28" i="5"/>
  <c r="A29" i="8"/>
  <c r="A28" i="8"/>
  <c r="A28" i="9"/>
  <c r="A27" i="5"/>
  <c r="A27" i="8"/>
  <c r="A26" i="5" l="1"/>
  <c r="A26" i="8"/>
  <c r="A25" i="8"/>
  <c r="A24" i="6"/>
  <c r="A24" i="8"/>
  <c r="A23" i="5"/>
  <c r="C15" i="4" l="1"/>
  <c r="B46" i="4"/>
  <c r="B45" i="4" s="1"/>
  <c r="A22" i="5"/>
  <c r="C21" i="4"/>
  <c r="C7" i="4"/>
  <c r="C2" i="4"/>
  <c r="B22" i="4" l="1"/>
  <c r="B11" i="4" l="1"/>
  <c r="A33" i="9" l="1"/>
  <c r="C28" i="4" s="1"/>
  <c r="A33" i="8"/>
  <c r="C27" i="4" s="1"/>
  <c r="A33" i="7"/>
  <c r="C38" i="4" s="1"/>
  <c r="A33" i="6"/>
  <c r="C39" i="4" s="1"/>
  <c r="A33" i="5"/>
  <c r="C36" i="4" s="1"/>
  <c r="B21" i="4"/>
  <c r="B27" i="4"/>
  <c r="B15" i="4"/>
  <c r="B7" i="4"/>
  <c r="B2" i="4"/>
  <c r="B44" i="4" s="1"/>
  <c r="C53" i="4" l="1"/>
  <c r="C54" i="4" s="1"/>
  <c r="C44" i="4"/>
  <c r="C50" i="4" s="1"/>
  <c r="B50" i="4"/>
  <c r="B43" i="4" l="1"/>
  <c r="B37" i="4"/>
  <c r="B38" i="4"/>
  <c r="B42" i="4"/>
  <c r="B39" i="4"/>
  <c r="B40" i="4"/>
</calcChain>
</file>

<file path=xl/sharedStrings.xml><?xml version="1.0" encoding="utf-8"?>
<sst xmlns="http://schemas.openxmlformats.org/spreadsheetml/2006/main" count="197" uniqueCount="103">
  <si>
    <t xml:space="preserve">Коммунальные платежи: </t>
  </si>
  <si>
    <t>-коммуналка</t>
  </si>
  <si>
    <t>-свет</t>
  </si>
  <si>
    <t>-газ</t>
  </si>
  <si>
    <t>-Zala</t>
  </si>
  <si>
    <t xml:space="preserve">Квартира </t>
  </si>
  <si>
    <t>Рассрочки:</t>
  </si>
  <si>
    <t>-телефон iphone</t>
  </si>
  <si>
    <t>Кружки:</t>
  </si>
  <si>
    <t>Заправка</t>
  </si>
  <si>
    <t xml:space="preserve">Еда </t>
  </si>
  <si>
    <t>Отдых</t>
  </si>
  <si>
    <t>Квартира строительство:</t>
  </si>
  <si>
    <t xml:space="preserve">-членские </t>
  </si>
  <si>
    <t>-паевые</t>
  </si>
  <si>
    <t>Телефоны абонентская:</t>
  </si>
  <si>
    <t>-Вова</t>
  </si>
  <si>
    <t>-Таня МТС</t>
  </si>
  <si>
    <t>-Паша МТС</t>
  </si>
  <si>
    <t>Одежда</t>
  </si>
  <si>
    <t xml:space="preserve">Снять </t>
  </si>
  <si>
    <t>-таэквондо</t>
  </si>
  <si>
    <t>-кредит Мама</t>
  </si>
  <si>
    <t>- лайф Мама</t>
  </si>
  <si>
    <t>Зайка))</t>
  </si>
  <si>
    <t>-шампунь</t>
  </si>
  <si>
    <t>-кондиционер для волос</t>
  </si>
  <si>
    <t>-умывашки)</t>
  </si>
  <si>
    <t>-маникюр</t>
  </si>
  <si>
    <t>Мама перечисл</t>
  </si>
  <si>
    <t>Такси</t>
  </si>
  <si>
    <t xml:space="preserve">Зарплата </t>
  </si>
  <si>
    <t>Общее поступления</t>
  </si>
  <si>
    <t>-skillbox</t>
  </si>
  <si>
    <t xml:space="preserve">-питание </t>
  </si>
  <si>
    <t>-бассейн</t>
  </si>
  <si>
    <t>-тренажерки</t>
  </si>
  <si>
    <t>-кератин</t>
  </si>
  <si>
    <t>Развитие</t>
  </si>
  <si>
    <t>Машина</t>
  </si>
  <si>
    <t>Всего обязательные:</t>
  </si>
  <si>
    <t>-кофе обед</t>
  </si>
  <si>
    <t>-карманные расходы Паша</t>
  </si>
  <si>
    <t>Отлажить</t>
  </si>
  <si>
    <t>Н.В. Расходы</t>
  </si>
  <si>
    <t xml:space="preserve">Остаток </t>
  </si>
  <si>
    <t>-подписки</t>
  </si>
  <si>
    <t>Спонсорская помощь</t>
  </si>
  <si>
    <t>План
Март</t>
  </si>
  <si>
    <t>Факт
Март</t>
  </si>
  <si>
    <t>Наименование затрат</t>
  </si>
  <si>
    <t>Долг</t>
  </si>
  <si>
    <t xml:space="preserve">Непредвиденные расходы </t>
  </si>
  <si>
    <t>Медицина (0,5)</t>
  </si>
  <si>
    <t>План
Апрель</t>
  </si>
  <si>
    <t>Факт
Апрель</t>
  </si>
  <si>
    <t>март</t>
  </si>
  <si>
    <t>апрель</t>
  </si>
  <si>
    <t>май</t>
  </si>
  <si>
    <t>июнь</t>
  </si>
  <si>
    <t xml:space="preserve">Вид ремонта </t>
  </si>
  <si>
    <t xml:space="preserve">Сумма </t>
  </si>
  <si>
    <t xml:space="preserve">Дата </t>
  </si>
  <si>
    <t xml:space="preserve">Генератор </t>
  </si>
  <si>
    <t xml:space="preserve">Лобовое стекло </t>
  </si>
  <si>
    <t xml:space="preserve">Рулевые наконечники </t>
  </si>
  <si>
    <t xml:space="preserve">Замена салейнтблоков
замена масла  </t>
  </si>
  <si>
    <t xml:space="preserve">Замена масла </t>
  </si>
  <si>
    <t xml:space="preserve">Развал-схождения </t>
  </si>
  <si>
    <t>всего</t>
  </si>
  <si>
    <t>План
Май</t>
  </si>
  <si>
    <t>Факт
Май</t>
  </si>
  <si>
    <t xml:space="preserve">Вовчик </t>
  </si>
  <si>
    <t xml:space="preserve">Ремонт левого супорта </t>
  </si>
  <si>
    <t xml:space="preserve">Замена шаровых, замена опоры преднего левого амортизатора, замена катушки зажигания </t>
  </si>
  <si>
    <t xml:space="preserve">Замена всех катушек, замена динамика, моторчик заднего стеклоомывателя, рычаг заднего стеклоомывателя </t>
  </si>
  <si>
    <t>Замена цепи ГРМ</t>
  </si>
  <si>
    <t>238 000 км</t>
  </si>
  <si>
    <t>План
Октябрь</t>
  </si>
  <si>
    <t>Факт
Октябрь</t>
  </si>
  <si>
    <t>октябрь</t>
  </si>
  <si>
    <t>ноябрь</t>
  </si>
  <si>
    <t>Замена свечей зажигания
замена крышки заливной масла 
масло на долив</t>
  </si>
  <si>
    <t>Вторичные расходы</t>
  </si>
  <si>
    <t xml:space="preserve">Проверка </t>
  </si>
  <si>
    <t>План
Ноябрь</t>
  </si>
  <si>
    <t>Факт
Ноябрь</t>
  </si>
  <si>
    <t>декабрь</t>
  </si>
  <si>
    <t>январь</t>
  </si>
  <si>
    <t>февраль</t>
  </si>
  <si>
    <t>июль</t>
  </si>
  <si>
    <t>август</t>
  </si>
  <si>
    <t>сентябрь</t>
  </si>
  <si>
    <t>План
Декабрь</t>
  </si>
  <si>
    <t>Факт
Декабрь</t>
  </si>
  <si>
    <t>План
Январь</t>
  </si>
  <si>
    <t>Факт
Январь</t>
  </si>
  <si>
    <t>План
Февраль</t>
  </si>
  <si>
    <t>Факт
Февраль</t>
  </si>
  <si>
    <t>подарок тесть</t>
  </si>
  <si>
    <t>,</t>
  </si>
  <si>
    <t xml:space="preserve">стрижка </t>
  </si>
  <si>
    <t xml:space="preserve">Замена масла и фильтра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</si>
</sst>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1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9" tint="-0.249977111117893"/>
      <name val="Times New Roman"/>
      <family val="1"/>
      <charset val="204"/>
    </font>
    <font>
      <sz val="11"/>
      <color theme="9" tint="-0.249977111117893"/>
      <name val="Times New Roman"/>
      <family val="1"/>
      <charset val="204"/>
    </font>
    <font>
      <b/>
      <sz val="12"/>
      <color theme="9" tint="-0.249977111117893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4" fontId="6" fillId="0" borderId="0" xfId="0" applyNumberFormat="1" applyFont="1"/>
    <xf numFmtId="0" fontId="0" fillId="0" borderId="1" xfId="0" applyBorder="1"/>
    <xf numFmtId="0" fontId="5" fillId="0" borderId="0" xfId="0" applyFont="1" applyFill="1"/>
    <xf numFmtId="0" fontId="6" fillId="0" borderId="0" xfId="0" applyFont="1" applyFill="1"/>
    <xf numFmtId="0" fontId="6" fillId="2" borderId="0" xfId="0" applyFont="1" applyFill="1"/>
    <xf numFmtId="0" fontId="5" fillId="2" borderId="0" xfId="0" applyFont="1" applyFill="1"/>
    <xf numFmtId="0" fontId="6" fillId="2" borderId="4" xfId="0" applyFont="1" applyFill="1" applyBorder="1"/>
    <xf numFmtId="4" fontId="6" fillId="2" borderId="5" xfId="0" applyNumberFormat="1" applyFont="1" applyFill="1" applyBorder="1"/>
    <xf numFmtId="0" fontId="6" fillId="2" borderId="5" xfId="0" applyFont="1" applyFill="1" applyBorder="1"/>
    <xf numFmtId="0" fontId="5" fillId="2" borderId="5" xfId="0" applyFont="1" applyFill="1" applyBorder="1"/>
    <xf numFmtId="0" fontId="6" fillId="0" borderId="6" xfId="0" applyFont="1" applyFill="1" applyBorder="1"/>
    <xf numFmtId="4" fontId="6" fillId="0" borderId="0" xfId="0" applyNumberFormat="1" applyFont="1" applyBorder="1"/>
    <xf numFmtId="0" fontId="5" fillId="0" borderId="0" xfId="0" applyFont="1" applyBorder="1"/>
    <xf numFmtId="0" fontId="6" fillId="0" borderId="7" xfId="0" applyFont="1" applyFill="1" applyBorder="1"/>
    <xf numFmtId="0" fontId="5" fillId="0" borderId="8" xfId="0" applyFont="1" applyBorder="1"/>
    <xf numFmtId="0" fontId="6" fillId="2" borderId="9" xfId="0" applyFont="1" applyFill="1" applyBorder="1"/>
    <xf numFmtId="4" fontId="6" fillId="2" borderId="10" xfId="0" applyNumberFormat="1" applyFont="1" applyFill="1" applyBorder="1"/>
    <xf numFmtId="0" fontId="6" fillId="2" borderId="10" xfId="0" applyFont="1" applyFill="1" applyBorder="1"/>
    <xf numFmtId="0" fontId="6" fillId="0" borderId="9" xfId="0" applyFont="1" applyFill="1" applyBorder="1"/>
    <xf numFmtId="4" fontId="6" fillId="0" borderId="10" xfId="0" applyNumberFormat="1" applyFont="1" applyBorder="1"/>
    <xf numFmtId="0" fontId="5" fillId="0" borderId="10" xfId="0" applyFont="1" applyBorder="1"/>
    <xf numFmtId="0" fontId="6" fillId="0" borderId="10" xfId="0" applyFont="1" applyBorder="1"/>
    <xf numFmtId="0" fontId="8" fillId="0" borderId="0" xfId="0" applyFont="1" applyFill="1"/>
    <xf numFmtId="4" fontId="8" fillId="0" borderId="0" xfId="0" applyNumberFormat="1" applyFont="1"/>
    <xf numFmtId="0" fontId="9" fillId="0" borderId="0" xfId="0" applyFont="1"/>
    <xf numFmtId="49" fontId="6" fillId="0" borderId="6" xfId="0" applyNumberFormat="1" applyFont="1" applyFill="1" applyBorder="1"/>
    <xf numFmtId="49" fontId="6" fillId="0" borderId="7" xfId="0" applyNumberFormat="1" applyFont="1" applyFill="1" applyBorder="1"/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wrapText="1"/>
    </xf>
    <xf numFmtId="0" fontId="5" fillId="3" borderId="0" xfId="0" applyFont="1" applyFill="1"/>
    <xf numFmtId="0" fontId="6" fillId="0" borderId="10" xfId="0" applyFont="1" applyFill="1" applyBorder="1"/>
    <xf numFmtId="0" fontId="6" fillId="4" borderId="0" xfId="0" applyFont="1" applyFill="1"/>
    <xf numFmtId="0" fontId="6" fillId="5" borderId="0" xfId="0" applyFont="1" applyFill="1"/>
    <xf numFmtId="0" fontId="10" fillId="0" borderId="1" xfId="0" applyFont="1" applyBorder="1"/>
    <xf numFmtId="14" fontId="0" fillId="0" borderId="1" xfId="0" applyNumberFormat="1" applyBorder="1"/>
    <xf numFmtId="0" fontId="11" fillId="0" borderId="1" xfId="0" applyFont="1" applyBorder="1"/>
    <xf numFmtId="14" fontId="11" fillId="0" borderId="1" xfId="0" applyNumberFormat="1" applyFont="1" applyBorder="1"/>
    <xf numFmtId="0" fontId="0" fillId="0" borderId="0" xfId="0" applyAlignment="1">
      <alignment vertical="top"/>
    </xf>
    <xf numFmtId="0" fontId="11" fillId="0" borderId="1" xfId="0" applyFont="1" applyBorder="1" applyAlignment="1">
      <alignment vertical="center"/>
    </xf>
    <xf numFmtId="14" fontId="11" fillId="0" borderId="1" xfId="0" applyNumberFormat="1" applyFont="1" applyBorder="1" applyAlignment="1">
      <alignment vertical="center"/>
    </xf>
    <xf numFmtId="2" fontId="5" fillId="0" borderId="8" xfId="0" applyNumberFormat="1" applyFont="1" applyBorder="1"/>
    <xf numFmtId="4" fontId="6" fillId="0" borderId="5" xfId="0" applyNumberFormat="1" applyFont="1" applyFill="1" applyBorder="1"/>
    <xf numFmtId="4" fontId="6" fillId="2" borderId="0" xfId="0" applyNumberFormat="1" applyFont="1" applyFill="1" applyBorder="1"/>
    <xf numFmtId="4" fontId="6" fillId="0" borderId="0" xfId="0" applyNumberFormat="1" applyFont="1" applyFill="1" applyBorder="1"/>
    <xf numFmtId="4" fontId="6" fillId="0" borderId="8" xfId="0" applyNumberFormat="1" applyFont="1" applyFill="1" applyBorder="1"/>
    <xf numFmtId="2" fontId="6" fillId="2" borderId="10" xfId="0" applyNumberFormat="1" applyFont="1" applyFill="1" applyBorder="1"/>
    <xf numFmtId="2" fontId="5" fillId="0" borderId="0" xfId="0" applyNumberFormat="1" applyFont="1" applyBorder="1"/>
    <xf numFmtId="4" fontId="5" fillId="0" borderId="0" xfId="0" applyNumberFormat="1" applyFont="1"/>
    <xf numFmtId="0" fontId="10" fillId="0" borderId="11" xfId="0" applyFont="1" applyFill="1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14" xfId="0" applyBorder="1"/>
    <xf numFmtId="0" fontId="2" fillId="0" borderId="1" xfId="0" applyFont="1" applyBorder="1" applyAlignment="1">
      <alignment vertical="center" wrapText="1"/>
    </xf>
    <xf numFmtId="0" fontId="0" fillId="0" borderId="15" xfId="0" applyBorder="1"/>
    <xf numFmtId="0" fontId="6" fillId="3" borderId="16" xfId="0" applyFont="1" applyFill="1" applyBorder="1" applyAlignment="1">
      <alignment horizontal="center" wrapText="1"/>
    </xf>
    <xf numFmtId="0" fontId="6" fillId="3" borderId="17" xfId="0" applyFont="1" applyFill="1" applyBorder="1" applyAlignment="1">
      <alignment horizontal="center" wrapText="1"/>
    </xf>
    <xf numFmtId="4" fontId="6" fillId="2" borderId="18" xfId="0" applyNumberFormat="1" applyFont="1" applyFill="1" applyBorder="1"/>
    <xf numFmtId="4" fontId="6" fillId="2" borderId="19" xfId="0" applyNumberFormat="1" applyFont="1" applyFill="1" applyBorder="1"/>
    <xf numFmtId="4" fontId="6" fillId="0" borderId="20" xfId="0" applyNumberFormat="1" applyFont="1" applyBorder="1"/>
    <xf numFmtId="4" fontId="6" fillId="0" borderId="19" xfId="0" applyNumberFormat="1" applyFont="1" applyFill="1" applyBorder="1"/>
    <xf numFmtId="4" fontId="6" fillId="0" borderId="21" xfId="0" applyNumberFormat="1" applyFont="1" applyFill="1" applyBorder="1"/>
    <xf numFmtId="0" fontId="6" fillId="2" borderId="18" xfId="0" applyFont="1" applyFill="1" applyBorder="1"/>
    <xf numFmtId="4" fontId="6" fillId="2" borderId="22" xfId="0" applyNumberFormat="1" applyFont="1" applyFill="1" applyBorder="1"/>
    <xf numFmtId="4" fontId="6" fillId="2" borderId="23" xfId="0" applyNumberFormat="1" applyFont="1" applyFill="1" applyBorder="1"/>
    <xf numFmtId="2" fontId="6" fillId="2" borderId="24" xfId="0" applyNumberFormat="1" applyFont="1" applyFill="1" applyBorder="1"/>
    <xf numFmtId="4" fontId="6" fillId="0" borderId="24" xfId="0" applyNumberFormat="1" applyFont="1" applyBorder="1"/>
    <xf numFmtId="2" fontId="5" fillId="0" borderId="25" xfId="0" applyNumberFormat="1" applyFont="1" applyBorder="1"/>
    <xf numFmtId="4" fontId="6" fillId="0" borderId="23" xfId="0" applyNumberFormat="1" applyFont="1" applyFill="1" applyBorder="1"/>
    <xf numFmtId="2" fontId="5" fillId="0" borderId="20" xfId="0" applyNumberFormat="1" applyFont="1" applyBorder="1"/>
    <xf numFmtId="4" fontId="8" fillId="0" borderId="20" xfId="0" applyNumberFormat="1" applyFont="1" applyBorder="1"/>
    <xf numFmtId="0" fontId="5" fillId="0" borderId="20" xfId="0" applyFont="1" applyBorder="1"/>
    <xf numFmtId="0" fontId="5" fillId="0" borderId="19" xfId="0" applyFont="1" applyBorder="1"/>
    <xf numFmtId="4" fontId="8" fillId="0" borderId="19" xfId="0" applyNumberFormat="1" applyFont="1" applyBorder="1"/>
    <xf numFmtId="4" fontId="5" fillId="0" borderId="19" xfId="0" applyNumberFormat="1" applyFont="1" applyBorder="1"/>
    <xf numFmtId="4" fontId="5" fillId="0" borderId="26" xfId="0" applyNumberFormat="1" applyFont="1" applyBorder="1"/>
    <xf numFmtId="0" fontId="5" fillId="0" borderId="27" xfId="0" applyFont="1" applyBorder="1"/>
    <xf numFmtId="0" fontId="0" fillId="2" borderId="6" xfId="0" applyFill="1" applyBorder="1"/>
    <xf numFmtId="0" fontId="0" fillId="2" borderId="1" xfId="0" applyFill="1" applyBorder="1"/>
    <xf numFmtId="0" fontId="0" fillId="2" borderId="14" xfId="0" applyFill="1" applyBorder="1"/>
    <xf numFmtId="0" fontId="0" fillId="2" borderId="0" xfId="0" applyFill="1"/>
    <xf numFmtId="0" fontId="0" fillId="2" borderId="15" xfId="0" applyFill="1" applyBorder="1"/>
    <xf numFmtId="0" fontId="16" fillId="3" borderId="0" xfId="0" applyFont="1" applyFill="1" applyAlignment="1">
      <alignment horizontal="center" wrapText="1"/>
    </xf>
    <xf numFmtId="4" fontId="16" fillId="2" borderId="5" xfId="0" applyNumberFormat="1" applyFont="1" applyFill="1" applyBorder="1"/>
    <xf numFmtId="4" fontId="16" fillId="2" borderId="0" xfId="0" applyNumberFormat="1" applyFont="1" applyFill="1" applyBorder="1"/>
    <xf numFmtId="4" fontId="16" fillId="0" borderId="0" xfId="0" applyNumberFormat="1" applyFont="1" applyBorder="1"/>
    <xf numFmtId="4" fontId="16" fillId="0" borderId="0" xfId="0" applyNumberFormat="1" applyFont="1" applyFill="1" applyBorder="1"/>
    <xf numFmtId="4" fontId="16" fillId="0" borderId="8" xfId="0" applyNumberFormat="1" applyFont="1" applyFill="1" applyBorder="1"/>
    <xf numFmtId="0" fontId="16" fillId="2" borderId="5" xfId="0" applyFont="1" applyFill="1" applyBorder="1"/>
    <xf numFmtId="4" fontId="16" fillId="2" borderId="10" xfId="0" applyNumberFormat="1" applyFont="1" applyFill="1" applyBorder="1"/>
    <xf numFmtId="2" fontId="16" fillId="2" borderId="10" xfId="0" applyNumberFormat="1" applyFont="1" applyFill="1" applyBorder="1"/>
    <xf numFmtId="4" fontId="16" fillId="0" borderId="10" xfId="0" applyNumberFormat="1" applyFont="1" applyBorder="1"/>
    <xf numFmtId="2" fontId="17" fillId="0" borderId="8" xfId="0" applyNumberFormat="1" applyFont="1" applyBorder="1"/>
    <xf numFmtId="4" fontId="16" fillId="0" borderId="5" xfId="0" applyNumberFormat="1" applyFont="1" applyFill="1" applyBorder="1"/>
    <xf numFmtId="2" fontId="17" fillId="0" borderId="0" xfId="0" applyNumberFormat="1" applyFont="1" applyBorder="1"/>
    <xf numFmtId="4" fontId="18" fillId="0" borderId="0" xfId="0" applyNumberFormat="1" applyFont="1"/>
    <xf numFmtId="4" fontId="16" fillId="0" borderId="0" xfId="0" applyNumberFormat="1" applyFont="1"/>
    <xf numFmtId="0" fontId="17" fillId="0" borderId="0" xfId="0" applyFont="1"/>
    <xf numFmtId="4" fontId="17" fillId="0" borderId="0" xfId="0" applyNumberFormat="1" applyFont="1"/>
    <xf numFmtId="0" fontId="6" fillId="6" borderId="0" xfId="0" applyFont="1" applyFill="1" applyAlignment="1">
      <alignment horizontal="center" wrapText="1"/>
    </xf>
    <xf numFmtId="0" fontId="13" fillId="6" borderId="0" xfId="0" applyFont="1" applyFill="1" applyAlignment="1">
      <alignment horizontal="center" wrapText="1"/>
    </xf>
    <xf numFmtId="4" fontId="6" fillId="6" borderId="5" xfId="0" applyNumberFormat="1" applyFont="1" applyFill="1" applyBorder="1"/>
    <xf numFmtId="4" fontId="6" fillId="6" borderId="0" xfId="0" applyNumberFormat="1" applyFont="1" applyFill="1" applyBorder="1"/>
    <xf numFmtId="4" fontId="13" fillId="6" borderId="5" xfId="0" applyNumberFormat="1" applyFont="1" applyFill="1" applyBorder="1"/>
    <xf numFmtId="4" fontId="13" fillId="6" borderId="0" xfId="0" applyNumberFormat="1" applyFont="1" applyFill="1" applyBorder="1"/>
    <xf numFmtId="4" fontId="6" fillId="6" borderId="8" xfId="0" applyNumberFormat="1" applyFont="1" applyFill="1" applyBorder="1"/>
    <xf numFmtId="4" fontId="13" fillId="6" borderId="8" xfId="0" applyNumberFormat="1" applyFont="1" applyFill="1" applyBorder="1"/>
    <xf numFmtId="0" fontId="6" fillId="6" borderId="5" xfId="0" applyFont="1" applyFill="1" applyBorder="1"/>
    <xf numFmtId="0" fontId="13" fillId="6" borderId="5" xfId="0" applyFont="1" applyFill="1" applyBorder="1"/>
    <xf numFmtId="4" fontId="6" fillId="6" borderId="0" xfId="0" applyNumberFormat="1" applyFont="1" applyFill="1"/>
    <xf numFmtId="4" fontId="6" fillId="6" borderId="10" xfId="0" applyNumberFormat="1" applyFont="1" applyFill="1" applyBorder="1"/>
    <xf numFmtId="4" fontId="13" fillId="6" borderId="10" xfId="0" applyNumberFormat="1" applyFont="1" applyFill="1" applyBorder="1"/>
    <xf numFmtId="2" fontId="6" fillId="6" borderId="10" xfId="0" applyNumberFormat="1" applyFont="1" applyFill="1" applyBorder="1"/>
    <xf numFmtId="2" fontId="13" fillId="6" borderId="10" xfId="0" applyNumberFormat="1" applyFont="1" applyFill="1" applyBorder="1"/>
    <xf numFmtId="2" fontId="5" fillId="6" borderId="8" xfId="0" applyNumberFormat="1" applyFont="1" applyFill="1" applyBorder="1"/>
    <xf numFmtId="2" fontId="14" fillId="6" borderId="8" xfId="0" applyNumberFormat="1" applyFont="1" applyFill="1" applyBorder="1"/>
    <xf numFmtId="2" fontId="5" fillId="6" borderId="0" xfId="0" applyNumberFormat="1" applyFont="1" applyFill="1" applyBorder="1"/>
    <xf numFmtId="2" fontId="14" fillId="6" borderId="0" xfId="0" applyNumberFormat="1" applyFont="1" applyFill="1" applyBorder="1"/>
    <xf numFmtId="0" fontId="6" fillId="6" borderId="10" xfId="0" applyFont="1" applyFill="1" applyBorder="1"/>
    <xf numFmtId="4" fontId="8" fillId="6" borderId="0" xfId="0" applyNumberFormat="1" applyFont="1" applyFill="1"/>
    <xf numFmtId="4" fontId="15" fillId="6" borderId="0" xfId="0" applyNumberFormat="1" applyFont="1" applyFill="1"/>
    <xf numFmtId="4" fontId="13" fillId="6" borderId="0" xfId="0" applyNumberFormat="1" applyFont="1" applyFill="1"/>
    <xf numFmtId="0" fontId="5" fillId="6" borderId="0" xfId="0" applyFont="1" applyFill="1"/>
    <xf numFmtId="0" fontId="14" fillId="6" borderId="0" xfId="0" applyFont="1" applyFill="1"/>
    <xf numFmtId="0" fontId="6" fillId="6" borderId="0" xfId="0" applyFont="1" applyFill="1"/>
    <xf numFmtId="4" fontId="5" fillId="6" borderId="0" xfId="0" applyNumberFormat="1" applyFont="1" applyFill="1"/>
    <xf numFmtId="4" fontId="14" fillId="6" borderId="0" xfId="0" applyNumberFormat="1" applyFont="1" applyFill="1"/>
    <xf numFmtId="0" fontId="0" fillId="6" borderId="15" xfId="0" applyFill="1" applyBorder="1"/>
    <xf numFmtId="0" fontId="0" fillId="6" borderId="1" xfId="0" applyFill="1" applyBorder="1"/>
    <xf numFmtId="0" fontId="0" fillId="6" borderId="14" xfId="0" applyFill="1" applyBorder="1"/>
    <xf numFmtId="0" fontId="0" fillId="6" borderId="0" xfId="0" applyFill="1"/>
    <xf numFmtId="0" fontId="0" fillId="2" borderId="12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2" xfId="0" applyFill="1" applyBorder="1"/>
    <xf numFmtId="0" fontId="0" fillId="2" borderId="13" xfId="0" applyFill="1" applyBorder="1"/>
    <xf numFmtId="0" fontId="1" fillId="0" borderId="1" xfId="0" applyFont="1" applyBorder="1" applyAlignment="1">
      <alignment vertical="center" wrapText="1"/>
    </xf>
    <xf numFmtId="0" fontId="0" fillId="2" borderId="11" xfId="0" applyFill="1" applyBorder="1"/>
    <xf numFmtId="0" fontId="0" fillId="2" borderId="28" xfId="0" applyFill="1" applyBorder="1"/>
  </cellXfs>
  <cellStyles count="1">
    <cellStyle name="Обычный" xfId="0" builtinId="0"/>
  </cellStyles>
  <dxfs count="41">
    <dxf>
      <fill>
        <patternFill>
          <bgColor rgb="FFFFFF00"/>
        </patternFill>
      </fill>
    </dxf>
    <dxf>
      <fill>
        <patternFill>
          <bgColor rgb="FF1217E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217E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217E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217E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217E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217E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217E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217E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217E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217E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217E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217E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1217E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121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workbookViewId="0">
      <pane ySplit="1" topLeftCell="A26" activePane="bottomLeft" state="frozen"/>
      <selection pane="bottomLeft" activeCell="M58" sqref="M58"/>
    </sheetView>
  </sheetViews>
  <sheetFormatPr defaultRowHeight="15" x14ac:dyDescent="0.25"/>
  <cols>
    <col min="1" max="1" width="27.7109375" style="6" customWidth="1"/>
    <col min="2" max="2" width="11.28515625" style="126" customWidth="1"/>
    <col min="3" max="4" width="9.140625" style="126"/>
    <col min="5" max="5" width="10.140625" style="126" bestFit="1" customWidth="1"/>
    <col min="6" max="6" width="9.140625" style="126"/>
    <col min="7" max="7" width="10.140625" style="126" bestFit="1" customWidth="1"/>
    <col min="8" max="9" width="10.7109375" style="126" customWidth="1"/>
    <col min="10" max="10" width="10.42578125" style="127" bestFit="1" customWidth="1"/>
    <col min="11" max="11" width="9.140625" style="127"/>
    <col min="12" max="13" width="9.140625" style="101"/>
    <col min="14" max="15" width="9.140625" style="1"/>
    <col min="16" max="16" width="9.7109375" style="1" customWidth="1"/>
    <col min="17" max="17" width="10" style="1" customWidth="1"/>
    <col min="18" max="16384" width="9.140625" style="1"/>
  </cols>
  <sheetData>
    <row r="1" spans="1:19" s="33" customFormat="1" ht="43.5" x14ac:dyDescent="0.25">
      <c r="A1" s="31" t="s">
        <v>50</v>
      </c>
      <c r="B1" s="103" t="s">
        <v>48</v>
      </c>
      <c r="C1" s="103" t="s">
        <v>49</v>
      </c>
      <c r="D1" s="103" t="s">
        <v>54</v>
      </c>
      <c r="E1" s="103" t="s">
        <v>55</v>
      </c>
      <c r="F1" s="103" t="s">
        <v>70</v>
      </c>
      <c r="G1" s="103" t="s">
        <v>71</v>
      </c>
      <c r="H1" s="103" t="s">
        <v>78</v>
      </c>
      <c r="I1" s="103" t="s">
        <v>79</v>
      </c>
      <c r="J1" s="104" t="s">
        <v>85</v>
      </c>
      <c r="K1" s="104" t="s">
        <v>86</v>
      </c>
      <c r="L1" s="86" t="s">
        <v>93</v>
      </c>
      <c r="M1" s="86" t="s">
        <v>94</v>
      </c>
      <c r="N1" s="59" t="s">
        <v>95</v>
      </c>
      <c r="O1" s="60" t="s">
        <v>96</v>
      </c>
      <c r="P1" s="32" t="s">
        <v>97</v>
      </c>
      <c r="Q1" s="32" t="s">
        <v>98</v>
      </c>
      <c r="R1" s="59" t="s">
        <v>48</v>
      </c>
      <c r="S1" s="60" t="s">
        <v>49</v>
      </c>
    </row>
    <row r="2" spans="1:19" s="13" customFormat="1" x14ac:dyDescent="0.25">
      <c r="A2" s="10" t="s">
        <v>0</v>
      </c>
      <c r="B2" s="105">
        <f t="shared" ref="B2:E2" si="0">SUM(B3:B6)</f>
        <v>137</v>
      </c>
      <c r="C2" s="105">
        <f t="shared" si="0"/>
        <v>184.67</v>
      </c>
      <c r="D2" s="105">
        <f t="shared" si="0"/>
        <v>167.5</v>
      </c>
      <c r="E2" s="105">
        <f t="shared" si="0"/>
        <v>155.85</v>
      </c>
      <c r="F2" s="105">
        <f t="shared" ref="F2:K2" si="1">SUM(F3:F6)</f>
        <v>167.5</v>
      </c>
      <c r="G2" s="106">
        <f t="shared" si="1"/>
        <v>142.80000000000001</v>
      </c>
      <c r="H2" s="105">
        <f t="shared" si="1"/>
        <v>167.5</v>
      </c>
      <c r="I2" s="106">
        <f t="shared" si="1"/>
        <v>142.41999999999999</v>
      </c>
      <c r="J2" s="107">
        <f t="shared" si="1"/>
        <v>167.5</v>
      </c>
      <c r="K2" s="108">
        <f t="shared" si="1"/>
        <v>123.30999999999999</v>
      </c>
      <c r="L2" s="87">
        <f t="shared" ref="L2:M2" si="2">SUM(L3:L6)</f>
        <v>167.5</v>
      </c>
      <c r="M2" s="88">
        <f t="shared" si="2"/>
        <v>118.42</v>
      </c>
      <c r="N2" s="61">
        <f t="shared" ref="N2:Q2" si="3">SUM(N3:N6)</f>
        <v>167.5</v>
      </c>
      <c r="O2" s="62">
        <f t="shared" si="3"/>
        <v>0</v>
      </c>
      <c r="P2" s="11">
        <f t="shared" si="3"/>
        <v>167.5</v>
      </c>
      <c r="Q2" s="46">
        <f t="shared" si="3"/>
        <v>0</v>
      </c>
      <c r="R2" s="61">
        <f t="shared" ref="R2:S2" si="4">SUM(R3:R6)</f>
        <v>167.5</v>
      </c>
      <c r="S2" s="62">
        <f t="shared" si="4"/>
        <v>0</v>
      </c>
    </row>
    <row r="3" spans="1:19" s="16" customFormat="1" x14ac:dyDescent="0.25">
      <c r="A3" s="14" t="s">
        <v>1</v>
      </c>
      <c r="B3" s="106">
        <v>70</v>
      </c>
      <c r="C3" s="106">
        <v>98.5</v>
      </c>
      <c r="D3" s="106">
        <v>90</v>
      </c>
      <c r="E3" s="105">
        <v>86.77</v>
      </c>
      <c r="F3" s="106">
        <v>90</v>
      </c>
      <c r="G3" s="106">
        <v>82.34</v>
      </c>
      <c r="H3" s="106">
        <v>90</v>
      </c>
      <c r="I3" s="106">
        <v>58.85</v>
      </c>
      <c r="J3" s="108">
        <v>90</v>
      </c>
      <c r="K3" s="108">
        <v>59.05</v>
      </c>
      <c r="L3" s="89">
        <v>90</v>
      </c>
      <c r="M3" s="90">
        <v>73.42</v>
      </c>
      <c r="N3" s="63">
        <v>90</v>
      </c>
      <c r="O3" s="64"/>
      <c r="P3" s="15">
        <v>90</v>
      </c>
      <c r="Q3" s="47"/>
      <c r="R3" s="63">
        <v>90</v>
      </c>
      <c r="S3" s="64"/>
    </row>
    <row r="4" spans="1:19" s="16" customFormat="1" x14ac:dyDescent="0.25">
      <c r="A4" s="14" t="s">
        <v>2</v>
      </c>
      <c r="B4" s="106">
        <v>30</v>
      </c>
      <c r="C4" s="106">
        <v>32.979999999999997</v>
      </c>
      <c r="D4" s="106">
        <v>30</v>
      </c>
      <c r="E4" s="105">
        <v>26.89</v>
      </c>
      <c r="F4" s="106">
        <v>30</v>
      </c>
      <c r="G4" s="106">
        <v>24.36</v>
      </c>
      <c r="H4" s="106">
        <v>30</v>
      </c>
      <c r="I4" s="106">
        <v>32.47</v>
      </c>
      <c r="J4" s="108">
        <v>30</v>
      </c>
      <c r="K4" s="108">
        <v>28.16</v>
      </c>
      <c r="L4" s="89">
        <v>30</v>
      </c>
      <c r="M4" s="90"/>
      <c r="N4" s="63">
        <v>30</v>
      </c>
      <c r="O4" s="64"/>
      <c r="P4" s="15">
        <v>30</v>
      </c>
      <c r="Q4" s="47"/>
      <c r="R4" s="63">
        <v>30</v>
      </c>
      <c r="S4" s="64"/>
    </row>
    <row r="5" spans="1:19" s="16" customFormat="1" x14ac:dyDescent="0.25">
      <c r="A5" s="14" t="s">
        <v>3</v>
      </c>
      <c r="B5" s="106">
        <v>2</v>
      </c>
      <c r="C5" s="106">
        <v>2.19</v>
      </c>
      <c r="D5" s="106">
        <v>2.5</v>
      </c>
      <c r="E5" s="105">
        <v>2.19</v>
      </c>
      <c r="F5" s="106">
        <v>2.5</v>
      </c>
      <c r="G5" s="106">
        <v>1.1000000000000001</v>
      </c>
      <c r="H5" s="106">
        <v>2.5</v>
      </c>
      <c r="I5" s="106">
        <v>1.1000000000000001</v>
      </c>
      <c r="J5" s="108">
        <v>2.5</v>
      </c>
      <c r="K5" s="108">
        <v>1.1000000000000001</v>
      </c>
      <c r="L5" s="89">
        <v>2.5</v>
      </c>
      <c r="M5" s="90"/>
      <c r="N5" s="63">
        <v>2.5</v>
      </c>
      <c r="O5" s="64"/>
      <c r="P5" s="15">
        <v>2.5</v>
      </c>
      <c r="Q5" s="47"/>
      <c r="R5" s="63">
        <v>2.5</v>
      </c>
      <c r="S5" s="64"/>
    </row>
    <row r="6" spans="1:19" s="18" customFormat="1" x14ac:dyDescent="0.25">
      <c r="A6" s="17" t="s">
        <v>4</v>
      </c>
      <c r="B6" s="109">
        <v>35</v>
      </c>
      <c r="C6" s="109">
        <f>35+10+6</f>
        <v>51</v>
      </c>
      <c r="D6" s="106">
        <v>45</v>
      </c>
      <c r="E6" s="105">
        <v>40</v>
      </c>
      <c r="F6" s="106">
        <v>45</v>
      </c>
      <c r="G6" s="109">
        <v>35</v>
      </c>
      <c r="H6" s="106">
        <v>45</v>
      </c>
      <c r="I6" s="109">
        <v>50</v>
      </c>
      <c r="J6" s="108">
        <v>45</v>
      </c>
      <c r="K6" s="110">
        <v>35</v>
      </c>
      <c r="L6" s="89">
        <v>45</v>
      </c>
      <c r="M6" s="91">
        <v>45</v>
      </c>
      <c r="N6" s="63">
        <v>45</v>
      </c>
      <c r="O6" s="65"/>
      <c r="P6" s="15">
        <v>45</v>
      </c>
      <c r="Q6" s="48"/>
      <c r="R6" s="63">
        <v>45</v>
      </c>
      <c r="S6" s="65"/>
    </row>
    <row r="7" spans="1:19" s="13" customFormat="1" x14ac:dyDescent="0.25">
      <c r="A7" s="10" t="s">
        <v>15</v>
      </c>
      <c r="B7" s="105">
        <f>SUM(B8:B10)</f>
        <v>85</v>
      </c>
      <c r="C7" s="105">
        <f>SUM(C8:C10)</f>
        <v>118</v>
      </c>
      <c r="D7" s="111">
        <f t="shared" ref="D7:E7" si="5">SUM(D8:D10)</f>
        <v>120</v>
      </c>
      <c r="E7" s="105">
        <f t="shared" si="5"/>
        <v>133.32999999999998</v>
      </c>
      <c r="F7" s="111">
        <f t="shared" ref="F7:G7" si="6">SUM(F8:F10)</f>
        <v>120</v>
      </c>
      <c r="G7" s="106">
        <f t="shared" si="6"/>
        <v>105</v>
      </c>
      <c r="H7" s="111">
        <f t="shared" ref="H7:I7" si="7">SUM(H8:H10)</f>
        <v>120</v>
      </c>
      <c r="I7" s="106">
        <f t="shared" si="7"/>
        <v>115</v>
      </c>
      <c r="J7" s="112">
        <f t="shared" ref="J7:K7" si="8">SUM(J8:J10)</f>
        <v>120</v>
      </c>
      <c r="K7" s="108">
        <f t="shared" si="8"/>
        <v>110</v>
      </c>
      <c r="L7" s="92">
        <f t="shared" ref="L7:M7" si="9">SUM(L8:L10)</f>
        <v>125</v>
      </c>
      <c r="M7" s="88">
        <f t="shared" si="9"/>
        <v>90</v>
      </c>
      <c r="N7" s="66">
        <f t="shared" ref="N7:Q7" si="10">SUM(N8:N10)</f>
        <v>120</v>
      </c>
      <c r="O7" s="62">
        <f t="shared" si="10"/>
        <v>0</v>
      </c>
      <c r="P7" s="12">
        <f t="shared" si="10"/>
        <v>120</v>
      </c>
      <c r="Q7" s="46">
        <f t="shared" si="10"/>
        <v>0</v>
      </c>
      <c r="R7" s="66">
        <f t="shared" ref="R7:S7" si="11">SUM(R8:R10)</f>
        <v>120</v>
      </c>
      <c r="S7" s="62">
        <f t="shared" si="11"/>
        <v>0</v>
      </c>
    </row>
    <row r="8" spans="1:19" s="16" customFormat="1" x14ac:dyDescent="0.25">
      <c r="A8" s="14" t="s">
        <v>16</v>
      </c>
      <c r="B8" s="106">
        <v>45</v>
      </c>
      <c r="C8" s="106">
        <v>35</v>
      </c>
      <c r="D8" s="106">
        <v>40</v>
      </c>
      <c r="E8" s="105">
        <v>35</v>
      </c>
      <c r="F8" s="106">
        <v>40</v>
      </c>
      <c r="G8" s="106">
        <v>35</v>
      </c>
      <c r="H8" s="106">
        <v>40</v>
      </c>
      <c r="I8" s="106">
        <v>45</v>
      </c>
      <c r="J8" s="108">
        <v>40</v>
      </c>
      <c r="K8" s="108">
        <v>40</v>
      </c>
      <c r="L8" s="89">
        <v>45</v>
      </c>
      <c r="M8" s="90">
        <v>45</v>
      </c>
      <c r="N8" s="63">
        <v>40</v>
      </c>
      <c r="O8" s="64"/>
      <c r="P8" s="15">
        <v>40</v>
      </c>
      <c r="Q8" s="47"/>
      <c r="R8" s="63">
        <v>40</v>
      </c>
      <c r="S8" s="64"/>
    </row>
    <row r="9" spans="1:19" s="16" customFormat="1" x14ac:dyDescent="0.25">
      <c r="A9" s="14" t="s">
        <v>17</v>
      </c>
      <c r="B9" s="106">
        <v>20</v>
      </c>
      <c r="C9" s="106">
        <f>20+6+10+6</f>
        <v>42</v>
      </c>
      <c r="D9" s="106">
        <v>40</v>
      </c>
      <c r="E9" s="105">
        <f>45+7.83+5.5+5</f>
        <v>63.33</v>
      </c>
      <c r="F9" s="106">
        <v>40</v>
      </c>
      <c r="G9" s="106">
        <v>35</v>
      </c>
      <c r="H9" s="106">
        <v>40</v>
      </c>
      <c r="I9" s="106">
        <v>35</v>
      </c>
      <c r="J9" s="108">
        <v>40</v>
      </c>
      <c r="K9" s="108">
        <v>35</v>
      </c>
      <c r="L9" s="89">
        <v>40</v>
      </c>
      <c r="M9" s="90">
        <v>10</v>
      </c>
      <c r="N9" s="63">
        <v>40</v>
      </c>
      <c r="O9" s="64"/>
      <c r="P9" s="15">
        <v>40</v>
      </c>
      <c r="Q9" s="47"/>
      <c r="R9" s="63">
        <v>40</v>
      </c>
      <c r="S9" s="64"/>
    </row>
    <row r="10" spans="1:19" s="18" customFormat="1" x14ac:dyDescent="0.25">
      <c r="A10" s="17" t="s">
        <v>18</v>
      </c>
      <c r="B10" s="109">
        <v>20</v>
      </c>
      <c r="C10" s="109">
        <f>20+16+5</f>
        <v>41</v>
      </c>
      <c r="D10" s="106">
        <v>40</v>
      </c>
      <c r="E10" s="105">
        <f>30+5</f>
        <v>35</v>
      </c>
      <c r="F10" s="106">
        <v>40</v>
      </c>
      <c r="G10" s="106">
        <v>35</v>
      </c>
      <c r="H10" s="106">
        <v>40</v>
      </c>
      <c r="I10" s="106">
        <v>35</v>
      </c>
      <c r="J10" s="108">
        <v>40</v>
      </c>
      <c r="K10" s="108">
        <v>35</v>
      </c>
      <c r="L10" s="89">
        <v>40</v>
      </c>
      <c r="M10" s="90">
        <v>35</v>
      </c>
      <c r="N10" s="63">
        <v>40</v>
      </c>
      <c r="O10" s="64"/>
      <c r="P10" s="15">
        <v>40</v>
      </c>
      <c r="Q10" s="47"/>
      <c r="R10" s="63">
        <v>40</v>
      </c>
      <c r="S10" s="64"/>
    </row>
    <row r="11" spans="1:19" s="9" customFormat="1" x14ac:dyDescent="0.25">
      <c r="A11" s="8" t="s">
        <v>5</v>
      </c>
      <c r="B11" s="113">
        <f>300*3.24</f>
        <v>972.00000000000011</v>
      </c>
      <c r="C11" s="113">
        <f>811.25+162.25</f>
        <v>973.5</v>
      </c>
      <c r="D11" s="105">
        <v>975</v>
      </c>
      <c r="E11" s="105">
        <f>979.5</f>
        <v>979.5</v>
      </c>
      <c r="F11" s="105">
        <v>975</v>
      </c>
      <c r="G11" s="114">
        <v>981.23</v>
      </c>
      <c r="H11" s="105">
        <v>987.46</v>
      </c>
      <c r="I11" s="114">
        <f>300*3.215</f>
        <v>964.5</v>
      </c>
      <c r="J11" s="107">
        <v>987.46</v>
      </c>
      <c r="K11" s="115">
        <f>300*3.27</f>
        <v>981</v>
      </c>
      <c r="L11" s="87">
        <v>987.46</v>
      </c>
      <c r="M11" s="93">
        <f>280*3.52</f>
        <v>985.6</v>
      </c>
      <c r="N11" s="61">
        <v>987.46</v>
      </c>
      <c r="O11" s="67"/>
      <c r="P11" s="11">
        <v>987.46</v>
      </c>
      <c r="Q11" s="20"/>
      <c r="R11" s="61">
        <v>987.46</v>
      </c>
      <c r="S11" s="67"/>
    </row>
    <row r="12" spans="1:19" s="13" customFormat="1" x14ac:dyDescent="0.25">
      <c r="A12" s="10" t="s">
        <v>12</v>
      </c>
      <c r="B12" s="105">
        <v>40</v>
      </c>
      <c r="C12" s="105">
        <v>40</v>
      </c>
      <c r="D12" s="111">
        <f t="shared" ref="D12:K12" si="12">SUM(D13:D14)</f>
        <v>40</v>
      </c>
      <c r="E12" s="105">
        <f t="shared" si="12"/>
        <v>40.75</v>
      </c>
      <c r="F12" s="105">
        <f t="shared" si="12"/>
        <v>40.75</v>
      </c>
      <c r="G12" s="106">
        <f t="shared" si="12"/>
        <v>40.75</v>
      </c>
      <c r="H12" s="111">
        <f t="shared" si="12"/>
        <v>40.75</v>
      </c>
      <c r="I12" s="106">
        <f t="shared" si="12"/>
        <v>40.75</v>
      </c>
      <c r="J12" s="112">
        <f t="shared" si="12"/>
        <v>40.75</v>
      </c>
      <c r="K12" s="108">
        <f t="shared" si="12"/>
        <v>40.75</v>
      </c>
      <c r="L12" s="92">
        <f t="shared" ref="L12:M12" si="13">SUM(L13:L14)</f>
        <v>40.75</v>
      </c>
      <c r="M12" s="88">
        <f t="shared" si="13"/>
        <v>40.75</v>
      </c>
      <c r="N12" s="66">
        <f t="shared" ref="N12:Q12" si="14">SUM(N13:N14)</f>
        <v>40.75</v>
      </c>
      <c r="O12" s="62">
        <f t="shared" si="14"/>
        <v>0</v>
      </c>
      <c r="P12" s="12">
        <f t="shared" si="14"/>
        <v>40.75</v>
      </c>
      <c r="Q12" s="46">
        <f t="shared" si="14"/>
        <v>0</v>
      </c>
      <c r="R12" s="66">
        <f t="shared" ref="R12:S12" si="15">SUM(R13:R14)</f>
        <v>40.75</v>
      </c>
      <c r="S12" s="62">
        <f t="shared" si="15"/>
        <v>0</v>
      </c>
    </row>
    <row r="13" spans="1:19" s="16" customFormat="1" x14ac:dyDescent="0.25">
      <c r="A13" s="14" t="s">
        <v>13</v>
      </c>
      <c r="B13" s="106">
        <v>40</v>
      </c>
      <c r="C13" s="106">
        <v>40</v>
      </c>
      <c r="D13" s="106">
        <v>40</v>
      </c>
      <c r="E13" s="105">
        <v>40.75</v>
      </c>
      <c r="F13" s="106">
        <v>40.75</v>
      </c>
      <c r="G13" s="106">
        <v>40.75</v>
      </c>
      <c r="H13" s="106">
        <v>40.75</v>
      </c>
      <c r="I13" s="106">
        <v>40.75</v>
      </c>
      <c r="J13" s="108">
        <v>40.75</v>
      </c>
      <c r="K13" s="108">
        <v>40.75</v>
      </c>
      <c r="L13" s="89">
        <v>40.75</v>
      </c>
      <c r="M13" s="90">
        <v>40.75</v>
      </c>
      <c r="N13" s="63">
        <v>40.75</v>
      </c>
      <c r="O13" s="64"/>
      <c r="P13" s="15">
        <v>40.75</v>
      </c>
      <c r="Q13" s="47"/>
      <c r="R13" s="63">
        <v>40.75</v>
      </c>
      <c r="S13" s="64"/>
    </row>
    <row r="14" spans="1:19" s="18" customFormat="1" x14ac:dyDescent="0.25">
      <c r="A14" s="17" t="s">
        <v>14</v>
      </c>
      <c r="B14" s="109">
        <v>0</v>
      </c>
      <c r="C14" s="109"/>
      <c r="D14" s="106"/>
      <c r="E14" s="105"/>
      <c r="F14" s="106"/>
      <c r="G14" s="109"/>
      <c r="H14" s="106"/>
      <c r="I14" s="109"/>
      <c r="J14" s="108"/>
      <c r="K14" s="110"/>
      <c r="L14" s="89"/>
      <c r="M14" s="91"/>
      <c r="N14" s="63"/>
      <c r="O14" s="65"/>
      <c r="P14" s="15"/>
      <c r="Q14" s="48"/>
      <c r="R14" s="63"/>
      <c r="S14" s="65"/>
    </row>
    <row r="15" spans="1:19" s="13" customFormat="1" x14ac:dyDescent="0.25">
      <c r="A15" s="10" t="s">
        <v>6</v>
      </c>
      <c r="B15" s="105">
        <f>SUM(B16:B20)</f>
        <v>537.62</v>
      </c>
      <c r="C15" s="105">
        <f>SUM(C16:C20)</f>
        <v>537.79</v>
      </c>
      <c r="D15" s="105">
        <f t="shared" ref="D15:E15" si="16">SUM(D16:D20)</f>
        <v>540.03</v>
      </c>
      <c r="E15" s="105">
        <f t="shared" si="16"/>
        <v>571.59</v>
      </c>
      <c r="F15" s="105">
        <f t="shared" ref="F15:G15" si="17">SUM(F16:F20)</f>
        <v>574.53</v>
      </c>
      <c r="G15" s="106">
        <f t="shared" si="17"/>
        <v>559.37</v>
      </c>
      <c r="H15" s="105">
        <f t="shared" ref="H15:I15" si="18">SUM(H16:H20)</f>
        <v>227.35</v>
      </c>
      <c r="I15" s="106">
        <f t="shared" si="18"/>
        <v>206.70750000000001</v>
      </c>
      <c r="J15" s="107">
        <f t="shared" ref="J15:K15" si="19">SUM(J16:J20)</f>
        <v>227.5</v>
      </c>
      <c r="K15" s="108">
        <f t="shared" si="19"/>
        <v>224.29400000000001</v>
      </c>
      <c r="L15" s="87">
        <f t="shared" ref="L15:M15" si="20">SUM(L16:L20)</f>
        <v>227.35</v>
      </c>
      <c r="M15" s="88">
        <f t="shared" si="20"/>
        <v>195.5154</v>
      </c>
      <c r="N15" s="61">
        <f t="shared" ref="N15:Q15" si="21">SUM(N16:N20)</f>
        <v>227.35</v>
      </c>
      <c r="O15" s="62">
        <f t="shared" si="21"/>
        <v>0</v>
      </c>
      <c r="P15" s="11">
        <f t="shared" si="21"/>
        <v>227.35</v>
      </c>
      <c r="Q15" s="46">
        <f t="shared" si="21"/>
        <v>0</v>
      </c>
      <c r="R15" s="61">
        <f t="shared" ref="R15:S15" si="22">SUM(R16:R20)</f>
        <v>227.35</v>
      </c>
      <c r="S15" s="62">
        <f t="shared" si="22"/>
        <v>0</v>
      </c>
    </row>
    <row r="16" spans="1:19" s="16" customFormat="1" x14ac:dyDescent="0.25">
      <c r="A16" s="14" t="s">
        <v>7</v>
      </c>
      <c r="B16" s="106">
        <v>190</v>
      </c>
      <c r="C16" s="106">
        <v>190</v>
      </c>
      <c r="D16" s="106">
        <v>190</v>
      </c>
      <c r="E16" s="105">
        <v>190</v>
      </c>
      <c r="F16" s="106">
        <v>190</v>
      </c>
      <c r="G16" s="106">
        <v>190</v>
      </c>
      <c r="H16" s="106"/>
      <c r="I16" s="106"/>
      <c r="J16" s="108"/>
      <c r="K16" s="108"/>
      <c r="L16" s="89"/>
      <c r="M16" s="90"/>
      <c r="N16" s="63"/>
      <c r="O16" s="64"/>
      <c r="P16" s="15"/>
      <c r="Q16" s="47"/>
      <c r="R16" s="63"/>
      <c r="S16" s="64"/>
    </row>
    <row r="17" spans="1:19" s="16" customFormat="1" x14ac:dyDescent="0.25">
      <c r="A17" s="14" t="s">
        <v>22</v>
      </c>
      <c r="B17" s="106">
        <v>132.78</v>
      </c>
      <c r="C17" s="106">
        <v>132.78</v>
      </c>
      <c r="D17" s="106">
        <v>132.78</v>
      </c>
      <c r="E17" s="105">
        <v>132.78</v>
      </c>
      <c r="F17" s="106">
        <v>132.78</v>
      </c>
      <c r="G17" s="106">
        <v>132.82</v>
      </c>
      <c r="H17" s="106"/>
      <c r="I17" s="106"/>
      <c r="J17" s="108"/>
      <c r="K17" s="108"/>
      <c r="L17" s="89"/>
      <c r="M17" s="90"/>
      <c r="N17" s="63"/>
      <c r="O17" s="64"/>
      <c r="P17" s="15"/>
      <c r="Q17" s="47"/>
      <c r="R17" s="63"/>
      <c r="S17" s="64"/>
    </row>
    <row r="18" spans="1:19" s="16" customFormat="1" x14ac:dyDescent="0.25">
      <c r="A18" s="14" t="s">
        <v>23</v>
      </c>
      <c r="B18" s="106">
        <v>25</v>
      </c>
      <c r="C18" s="106">
        <v>25</v>
      </c>
      <c r="D18" s="106">
        <v>25</v>
      </c>
      <c r="E18" s="105">
        <v>25</v>
      </c>
      <c r="F18" s="106">
        <v>25</v>
      </c>
      <c r="G18" s="106">
        <v>25</v>
      </c>
      <c r="H18" s="106"/>
      <c r="I18" s="106"/>
      <c r="J18" s="108"/>
      <c r="K18" s="108"/>
      <c r="L18" s="89"/>
      <c r="M18" s="90"/>
      <c r="N18" s="63"/>
      <c r="O18" s="64"/>
      <c r="P18" s="15"/>
      <c r="Q18" s="47"/>
      <c r="R18" s="63"/>
      <c r="S18" s="64"/>
    </row>
    <row r="19" spans="1:19" s="16" customFormat="1" x14ac:dyDescent="0.25">
      <c r="A19" s="14" t="s">
        <v>33</v>
      </c>
      <c r="B19" s="106">
        <v>176.75</v>
      </c>
      <c r="C19" s="106">
        <v>176.92</v>
      </c>
      <c r="D19" s="106">
        <v>176.75</v>
      </c>
      <c r="E19" s="105">
        <v>177.21</v>
      </c>
      <c r="F19" s="106">
        <v>176.75</v>
      </c>
      <c r="G19" s="106">
        <v>177.05</v>
      </c>
      <c r="H19" s="106">
        <v>177.35</v>
      </c>
      <c r="I19" s="106">
        <v>177.22</v>
      </c>
      <c r="J19" s="108">
        <v>177.5</v>
      </c>
      <c r="K19" s="108">
        <v>177.49</v>
      </c>
      <c r="L19" s="89">
        <v>177.35</v>
      </c>
      <c r="M19" s="90">
        <v>177.23</v>
      </c>
      <c r="N19" s="63">
        <v>177.35</v>
      </c>
      <c r="O19" s="64"/>
      <c r="P19" s="15">
        <v>177.35</v>
      </c>
      <c r="Q19" s="47"/>
      <c r="R19" s="63">
        <v>177.35</v>
      </c>
      <c r="S19" s="64"/>
    </row>
    <row r="20" spans="1:19" s="18" customFormat="1" x14ac:dyDescent="0.25">
      <c r="A20" s="30" t="s">
        <v>46</v>
      </c>
      <c r="B20" s="109">
        <v>13.09</v>
      </c>
      <c r="C20" s="109">
        <v>13.09</v>
      </c>
      <c r="D20" s="106">
        <v>15.5</v>
      </c>
      <c r="E20" s="105">
        <f>4*3.24+2.24+2.24+2.24+2.24+16.5+8.18</f>
        <v>46.6</v>
      </c>
      <c r="F20" s="106">
        <v>50</v>
      </c>
      <c r="G20" s="106">
        <f>2.24+13.05+2.24+16.97</f>
        <v>34.5</v>
      </c>
      <c r="H20" s="106">
        <v>50</v>
      </c>
      <c r="I20" s="106">
        <f>(3.99*3.215)*2+(1.19*3.22)</f>
        <v>29.487500000000001</v>
      </c>
      <c r="J20" s="108">
        <v>50</v>
      </c>
      <c r="K20" s="108">
        <f>2.24+(3.99*3.3)*2+2.24+11.99+4</f>
        <v>46.804000000000002</v>
      </c>
      <c r="L20" s="89">
        <v>50</v>
      </c>
      <c r="M20" s="90">
        <f>2.24+2.24+(3.99*3.46)</f>
        <v>18.285400000000003</v>
      </c>
      <c r="N20" s="63">
        <v>50</v>
      </c>
      <c r="O20" s="64"/>
      <c r="P20" s="15">
        <v>50</v>
      </c>
      <c r="Q20" s="47"/>
      <c r="R20" s="63">
        <v>50</v>
      </c>
      <c r="S20" s="64"/>
    </row>
    <row r="21" spans="1:19" s="13" customFormat="1" x14ac:dyDescent="0.25">
      <c r="A21" s="10" t="s">
        <v>8</v>
      </c>
      <c r="B21" s="105">
        <f>SUM(B22:B26)</f>
        <v>775</v>
      </c>
      <c r="C21" s="105">
        <f>SUM(C22:C26)</f>
        <v>570</v>
      </c>
      <c r="D21" s="105">
        <f t="shared" ref="D21:E21" si="23">SUM(D22:D26)</f>
        <v>480</v>
      </c>
      <c r="E21" s="105">
        <f t="shared" si="23"/>
        <v>292.38</v>
      </c>
      <c r="F21" s="105">
        <f t="shared" ref="F21:G21" si="24">SUM(F22:F26)</f>
        <v>480</v>
      </c>
      <c r="G21" s="105">
        <f t="shared" si="24"/>
        <v>174</v>
      </c>
      <c r="H21" s="105">
        <f t="shared" ref="H21:I21" si="25">SUM(H22:H26)</f>
        <v>315</v>
      </c>
      <c r="I21" s="105">
        <f t="shared" si="25"/>
        <v>375.35</v>
      </c>
      <c r="J21" s="107">
        <f t="shared" ref="J21:K21" si="26">SUM(J22:J26)</f>
        <v>401.75</v>
      </c>
      <c r="K21" s="107">
        <f t="shared" si="26"/>
        <v>289.75</v>
      </c>
      <c r="L21" s="87">
        <f t="shared" ref="L21:M21" si="27">SUM(L22:L26)</f>
        <v>441</v>
      </c>
      <c r="M21" s="87">
        <f t="shared" si="27"/>
        <v>130</v>
      </c>
      <c r="N21" s="61">
        <f t="shared" ref="N21:Q21" si="28">SUM(N22:N26)</f>
        <v>390</v>
      </c>
      <c r="O21" s="68">
        <f t="shared" si="28"/>
        <v>0</v>
      </c>
      <c r="P21" s="11">
        <f t="shared" si="28"/>
        <v>390</v>
      </c>
      <c r="Q21" s="11">
        <f t="shared" si="28"/>
        <v>0</v>
      </c>
      <c r="R21" s="61">
        <f t="shared" ref="R21:S21" si="29">SUM(R22:R26)</f>
        <v>390</v>
      </c>
      <c r="S21" s="68">
        <f t="shared" si="29"/>
        <v>0</v>
      </c>
    </row>
    <row r="22" spans="1:19" s="16" customFormat="1" x14ac:dyDescent="0.25">
      <c r="A22" s="14" t="s">
        <v>21</v>
      </c>
      <c r="B22" s="106">
        <f>85+300</f>
        <v>385</v>
      </c>
      <c r="C22" s="106">
        <f>(50.45+11.5+7.2+14.05)+30+185+25+85</f>
        <v>408.2</v>
      </c>
      <c r="D22" s="106">
        <f>85+25</f>
        <v>110</v>
      </c>
      <c r="E22" s="106">
        <f>25+85.75</f>
        <v>110.75</v>
      </c>
      <c r="F22" s="106">
        <f>85+25</f>
        <v>110</v>
      </c>
      <c r="G22" s="106"/>
      <c r="H22" s="106">
        <v>85</v>
      </c>
      <c r="I22" s="106">
        <f>70</f>
        <v>70</v>
      </c>
      <c r="J22" s="108">
        <v>85.75</v>
      </c>
      <c r="K22" s="108">
        <f>85.75+25</f>
        <v>110.75</v>
      </c>
      <c r="L22" s="89">
        <v>100</v>
      </c>
      <c r="M22" s="90"/>
      <c r="N22" s="63">
        <f>85+25</f>
        <v>110</v>
      </c>
      <c r="O22" s="64"/>
      <c r="P22" s="15">
        <f>85+25</f>
        <v>110</v>
      </c>
      <c r="Q22" s="47"/>
      <c r="R22" s="63">
        <f>85+25</f>
        <v>110</v>
      </c>
      <c r="S22" s="64"/>
    </row>
    <row r="23" spans="1:19" s="16" customFormat="1" x14ac:dyDescent="0.25">
      <c r="A23" s="29" t="s">
        <v>42</v>
      </c>
      <c r="B23" s="106">
        <v>120</v>
      </c>
      <c r="C23" s="106">
        <f>2.6+10+5+10+20+3.2+27+3+20+4</f>
        <v>104.80000000000001</v>
      </c>
      <c r="D23" s="106">
        <v>100</v>
      </c>
      <c r="E23" s="106">
        <f>8+10+10+2.6+2.6+6.1+20+5+5+3.5+5+15+3+5+2.6</f>
        <v>103.4</v>
      </c>
      <c r="F23" s="106">
        <v>100</v>
      </c>
      <c r="G23" s="106">
        <f>20+4+10+10</f>
        <v>44</v>
      </c>
      <c r="H23" s="106">
        <v>50</v>
      </c>
      <c r="I23" s="106">
        <f>6.5+3+4+2.61+3+3+4+2.6+110+3+5+4</f>
        <v>150.71</v>
      </c>
      <c r="J23" s="108">
        <v>100</v>
      </c>
      <c r="K23" s="108">
        <f>3+3+3+3+5+7+3+5+2.6+2.6+5+10+5+7+2.6+2.6+5+5+7+10+2.6+3+4+3</f>
        <v>108.99999999999999</v>
      </c>
      <c r="L23" s="89">
        <v>125</v>
      </c>
      <c r="M23" s="90">
        <f>25+25</f>
        <v>50</v>
      </c>
      <c r="N23" s="63">
        <v>100</v>
      </c>
      <c r="O23" s="64"/>
      <c r="P23" s="15">
        <v>100</v>
      </c>
      <c r="Q23" s="47"/>
      <c r="R23" s="63">
        <v>100</v>
      </c>
      <c r="S23" s="64"/>
    </row>
    <row r="24" spans="1:19" s="16" customFormat="1" x14ac:dyDescent="0.25">
      <c r="A24" s="14" t="s">
        <v>35</v>
      </c>
      <c r="B24" s="106"/>
      <c r="C24" s="106"/>
      <c r="D24" s="106"/>
      <c r="E24" s="106"/>
      <c r="F24" s="106"/>
      <c r="G24" s="106">
        <v>100</v>
      </c>
      <c r="H24" s="106">
        <v>100</v>
      </c>
      <c r="I24" s="106">
        <f>34+34</f>
        <v>68</v>
      </c>
      <c r="J24" s="108">
        <v>136</v>
      </c>
      <c r="K24" s="108"/>
      <c r="L24" s="89">
        <v>136</v>
      </c>
      <c r="M24" s="90"/>
      <c r="N24" s="63">
        <v>100</v>
      </c>
      <c r="O24" s="64"/>
      <c r="P24" s="15">
        <v>100</v>
      </c>
      <c r="Q24" s="47"/>
      <c r="R24" s="63">
        <v>100</v>
      </c>
      <c r="S24" s="64"/>
    </row>
    <row r="25" spans="1:19" s="16" customFormat="1" x14ac:dyDescent="0.25">
      <c r="A25" s="14" t="s">
        <v>34</v>
      </c>
      <c r="B25" s="106">
        <v>80</v>
      </c>
      <c r="C25" s="106">
        <f>20+17+20</f>
        <v>57</v>
      </c>
      <c r="D25" s="106">
        <v>80</v>
      </c>
      <c r="E25" s="106">
        <f>50+3.23+25</f>
        <v>78.22999999999999</v>
      </c>
      <c r="F25" s="106">
        <v>80</v>
      </c>
      <c r="G25" s="106">
        <f>30</f>
        <v>30</v>
      </c>
      <c r="H25" s="106">
        <v>80</v>
      </c>
      <c r="I25" s="106">
        <f>61.64+15+10</f>
        <v>86.64</v>
      </c>
      <c r="J25" s="108">
        <v>80</v>
      </c>
      <c r="K25" s="108">
        <v>70</v>
      </c>
      <c r="L25" s="89">
        <v>80</v>
      </c>
      <c r="M25" s="90">
        <v>80</v>
      </c>
      <c r="N25" s="63">
        <v>80</v>
      </c>
      <c r="O25" s="64"/>
      <c r="P25" s="15">
        <v>80</v>
      </c>
      <c r="Q25" s="47"/>
      <c r="R25" s="63">
        <v>80</v>
      </c>
      <c r="S25" s="64"/>
    </row>
    <row r="26" spans="1:19" s="18" customFormat="1" x14ac:dyDescent="0.25">
      <c r="A26" s="17" t="s">
        <v>36</v>
      </c>
      <c r="B26" s="109">
        <v>190</v>
      </c>
      <c r="C26" s="109"/>
      <c r="D26" s="106">
        <v>190</v>
      </c>
      <c r="E26" s="109"/>
      <c r="F26" s="106">
        <v>190</v>
      </c>
      <c r="G26" s="109"/>
      <c r="H26" s="106"/>
      <c r="I26" s="109"/>
      <c r="J26" s="108"/>
      <c r="K26" s="110"/>
      <c r="L26" s="89"/>
      <c r="M26" s="91"/>
      <c r="N26" s="63"/>
      <c r="O26" s="65"/>
      <c r="P26" s="15"/>
      <c r="Q26" s="48"/>
      <c r="R26" s="63"/>
      <c r="S26" s="65"/>
    </row>
    <row r="27" spans="1:19" s="21" customFormat="1" ht="14.25" x14ac:dyDescent="0.2">
      <c r="A27" s="19" t="s">
        <v>9</v>
      </c>
      <c r="B27" s="114">
        <f>6*50</f>
        <v>300</v>
      </c>
      <c r="C27" s="114">
        <f>Заправка!A$33</f>
        <v>717.14</v>
      </c>
      <c r="D27" s="105">
        <v>400</v>
      </c>
      <c r="E27" s="114">
        <f>Заправка!B$33</f>
        <v>525.16</v>
      </c>
      <c r="F27" s="105">
        <v>400</v>
      </c>
      <c r="G27" s="114">
        <f>Заправка!C33</f>
        <v>350.13</v>
      </c>
      <c r="H27" s="105">
        <v>400</v>
      </c>
      <c r="I27" s="114">
        <f>Заправка!E33</f>
        <v>615.70000000000005</v>
      </c>
      <c r="J27" s="107">
        <v>500</v>
      </c>
      <c r="K27" s="115">
        <f>Заправка!G33</f>
        <v>532.42999999999995</v>
      </c>
      <c r="L27" s="87">
        <v>400</v>
      </c>
      <c r="M27" s="93">
        <f>Заправка!I33</f>
        <v>364.41999999999996</v>
      </c>
      <c r="N27" s="61">
        <v>400</v>
      </c>
      <c r="O27" s="67">
        <f>Заправка!K33</f>
        <v>0</v>
      </c>
      <c r="P27" s="11">
        <v>400</v>
      </c>
      <c r="Q27" s="20">
        <f>Заправка!M33</f>
        <v>0</v>
      </c>
      <c r="R27" s="61">
        <v>400</v>
      </c>
      <c r="S27" s="67">
        <f>Заправка!O33</f>
        <v>0</v>
      </c>
    </row>
    <row r="28" spans="1:19" s="12" customFormat="1" ht="14.25" x14ac:dyDescent="0.2">
      <c r="A28" s="10" t="s">
        <v>24</v>
      </c>
      <c r="B28" s="105">
        <v>360</v>
      </c>
      <c r="C28" s="105">
        <f>Зайка!A$33</f>
        <v>232.32000000000002</v>
      </c>
      <c r="D28" s="111">
        <v>360</v>
      </c>
      <c r="E28" s="106">
        <f>Зайка!B$33</f>
        <v>104.75999999999999</v>
      </c>
      <c r="F28" s="111">
        <v>360</v>
      </c>
      <c r="G28" s="106">
        <f>Зайка!C33</f>
        <v>330.59999999999997</v>
      </c>
      <c r="H28" s="111">
        <v>360</v>
      </c>
      <c r="I28" s="106">
        <f>Зайка!E33</f>
        <v>162.83999999999997</v>
      </c>
      <c r="J28" s="112">
        <v>360</v>
      </c>
      <c r="K28" s="108">
        <f>Зайка!G33</f>
        <v>181.18999999999997</v>
      </c>
      <c r="L28" s="92">
        <v>360</v>
      </c>
      <c r="M28" s="88">
        <f>Зайка!I33</f>
        <v>77.87</v>
      </c>
      <c r="N28" s="66">
        <v>360</v>
      </c>
      <c r="O28" s="62">
        <f>Зайка!K33</f>
        <v>0</v>
      </c>
      <c r="P28" s="12">
        <v>360</v>
      </c>
      <c r="Q28" s="46">
        <f>Зайка!M33</f>
        <v>0</v>
      </c>
      <c r="R28" s="66">
        <v>360</v>
      </c>
      <c r="S28" s="62">
        <f>Зайка!O33</f>
        <v>0</v>
      </c>
    </row>
    <row r="29" spans="1:19" s="16" customFormat="1" x14ac:dyDescent="0.25">
      <c r="A29" s="14" t="s">
        <v>25</v>
      </c>
      <c r="B29" s="106"/>
      <c r="C29" s="106"/>
      <c r="D29" s="106"/>
      <c r="E29" s="106"/>
      <c r="F29" s="106"/>
      <c r="G29" s="106"/>
      <c r="H29" s="106"/>
      <c r="I29" s="106"/>
      <c r="J29" s="108"/>
      <c r="K29" s="108"/>
      <c r="L29" s="89"/>
      <c r="M29" s="90"/>
      <c r="N29" s="63"/>
      <c r="O29" s="64"/>
      <c r="P29" s="15"/>
      <c r="Q29" s="47"/>
      <c r="R29" s="63"/>
      <c r="S29" s="64"/>
    </row>
    <row r="30" spans="1:19" s="16" customFormat="1" x14ac:dyDescent="0.25">
      <c r="A30" s="14" t="s">
        <v>26</v>
      </c>
      <c r="B30" s="106"/>
      <c r="C30" s="106"/>
      <c r="D30" s="106"/>
      <c r="E30" s="106"/>
      <c r="F30" s="106"/>
      <c r="G30" s="106"/>
      <c r="H30" s="106"/>
      <c r="I30" s="106"/>
      <c r="J30" s="108"/>
      <c r="K30" s="108"/>
      <c r="L30" s="89"/>
      <c r="M30" s="90"/>
      <c r="N30" s="63"/>
      <c r="O30" s="64"/>
      <c r="P30" s="15"/>
      <c r="Q30" s="47"/>
      <c r="R30" s="63"/>
      <c r="S30" s="64"/>
    </row>
    <row r="31" spans="1:19" s="16" customFormat="1" x14ac:dyDescent="0.25">
      <c r="A31" s="14" t="s">
        <v>37</v>
      </c>
      <c r="B31" s="106"/>
      <c r="C31" s="106"/>
      <c r="D31" s="106"/>
      <c r="E31" s="106"/>
      <c r="F31" s="106"/>
      <c r="G31" s="106"/>
      <c r="H31" s="106"/>
      <c r="I31" s="106"/>
      <c r="J31" s="108"/>
      <c r="K31" s="108"/>
      <c r="L31" s="89"/>
      <c r="M31" s="90"/>
      <c r="N31" s="63"/>
      <c r="O31" s="64"/>
      <c r="P31" s="15"/>
      <c r="Q31" s="47"/>
      <c r="R31" s="63"/>
      <c r="S31" s="64"/>
    </row>
    <row r="32" spans="1:19" s="16" customFormat="1" x14ac:dyDescent="0.25">
      <c r="A32" s="14" t="s">
        <v>27</v>
      </c>
      <c r="B32" s="106"/>
      <c r="C32" s="106"/>
      <c r="D32" s="106"/>
      <c r="E32" s="106"/>
      <c r="F32" s="106"/>
      <c r="G32" s="106"/>
      <c r="H32" s="106"/>
      <c r="I32" s="106"/>
      <c r="J32" s="108"/>
      <c r="K32" s="108"/>
      <c r="L32" s="89"/>
      <c r="M32" s="90"/>
      <c r="N32" s="63"/>
      <c r="O32" s="64"/>
      <c r="P32" s="15"/>
      <c r="Q32" s="47"/>
      <c r="R32" s="63"/>
      <c r="S32" s="64"/>
    </row>
    <row r="33" spans="1:19" s="16" customFormat="1" x14ac:dyDescent="0.25">
      <c r="A33" s="14" t="s">
        <v>28</v>
      </c>
      <c r="B33" s="106"/>
      <c r="C33" s="106"/>
      <c r="D33" s="106"/>
      <c r="E33" s="106"/>
      <c r="F33" s="106"/>
      <c r="G33" s="106"/>
      <c r="H33" s="106"/>
      <c r="I33" s="106"/>
      <c r="J33" s="108"/>
      <c r="K33" s="108"/>
      <c r="L33" s="89"/>
      <c r="M33" s="90"/>
      <c r="N33" s="63"/>
      <c r="O33" s="64"/>
      <c r="P33" s="15"/>
      <c r="Q33" s="47"/>
      <c r="R33" s="63"/>
      <c r="S33" s="64"/>
    </row>
    <row r="34" spans="1:19" s="18" customFormat="1" x14ac:dyDescent="0.25">
      <c r="A34" s="17" t="s">
        <v>41</v>
      </c>
      <c r="B34" s="109"/>
      <c r="C34" s="109"/>
      <c r="D34" s="106"/>
      <c r="E34" s="109"/>
      <c r="F34" s="106"/>
      <c r="G34" s="109"/>
      <c r="H34" s="106"/>
      <c r="I34" s="109"/>
      <c r="J34" s="108"/>
      <c r="K34" s="110"/>
      <c r="L34" s="89"/>
      <c r="M34" s="91"/>
      <c r="N34" s="63"/>
      <c r="O34" s="65"/>
      <c r="P34" s="15"/>
      <c r="Q34" s="48"/>
      <c r="R34" s="63"/>
      <c r="S34" s="65"/>
    </row>
    <row r="35" spans="1:19" s="18" customFormat="1" x14ac:dyDescent="0.25">
      <c r="A35" s="19" t="s">
        <v>72</v>
      </c>
      <c r="B35" s="111"/>
      <c r="C35" s="111"/>
      <c r="D35" s="116"/>
      <c r="E35" s="105"/>
      <c r="F35" s="116">
        <v>100</v>
      </c>
      <c r="G35" s="114">
        <f>Вовчик!C33</f>
        <v>59.79</v>
      </c>
      <c r="H35" s="116">
        <v>261</v>
      </c>
      <c r="I35" s="114">
        <f>Вовчик!E33</f>
        <v>261</v>
      </c>
      <c r="J35" s="117">
        <v>100</v>
      </c>
      <c r="K35" s="115">
        <f>Вовчик!G33</f>
        <v>99</v>
      </c>
      <c r="L35" s="94">
        <v>100</v>
      </c>
      <c r="M35" s="93">
        <f>100+59.03</f>
        <v>159.03</v>
      </c>
      <c r="N35" s="69">
        <v>100</v>
      </c>
      <c r="O35" s="67">
        <f>Вовчик!K33</f>
        <v>0</v>
      </c>
      <c r="P35" s="49">
        <v>100</v>
      </c>
      <c r="Q35" s="20">
        <f>Вовчик!M33</f>
        <v>0</v>
      </c>
      <c r="R35" s="69">
        <v>100</v>
      </c>
      <c r="S35" s="67">
        <f>Вовчик!O33</f>
        <v>0</v>
      </c>
    </row>
    <row r="36" spans="1:19" s="18" customFormat="1" x14ac:dyDescent="0.25">
      <c r="A36" s="22" t="s">
        <v>10</v>
      </c>
      <c r="B36" s="114">
        <v>700</v>
      </c>
      <c r="C36" s="114">
        <f>Еда!A$33</f>
        <v>719.42</v>
      </c>
      <c r="D36" s="114">
        <v>700</v>
      </c>
      <c r="E36" s="106">
        <f>Еда!B$33</f>
        <v>917.19</v>
      </c>
      <c r="F36" s="114">
        <v>700</v>
      </c>
      <c r="G36" s="106">
        <f>Еда!C33</f>
        <v>549.77</v>
      </c>
      <c r="H36" s="114">
        <v>700</v>
      </c>
      <c r="I36" s="106">
        <f>Еда!E33</f>
        <v>1155.3300000000002</v>
      </c>
      <c r="J36" s="115">
        <v>800</v>
      </c>
      <c r="K36" s="108">
        <f>Еда!G33</f>
        <v>1040.81</v>
      </c>
      <c r="L36" s="95">
        <v>900</v>
      </c>
      <c r="M36" s="90">
        <f>Еда!I33</f>
        <v>668.12000000000012</v>
      </c>
      <c r="N36" s="70">
        <v>700</v>
      </c>
      <c r="O36" s="64">
        <f>Еда!K33</f>
        <v>0</v>
      </c>
      <c r="P36" s="23">
        <v>700</v>
      </c>
      <c r="Q36" s="47">
        <f>Еда!M33</f>
        <v>0</v>
      </c>
      <c r="R36" s="70">
        <v>700</v>
      </c>
      <c r="S36" s="64">
        <f>Еда!O33</f>
        <v>0</v>
      </c>
    </row>
    <row r="37" spans="1:19" s="18" customFormat="1" x14ac:dyDescent="0.25">
      <c r="A37" s="19" t="s">
        <v>39</v>
      </c>
      <c r="B37" s="111">
        <f>B$50*0.6</f>
        <v>1048.5179999999998</v>
      </c>
      <c r="C37" s="114">
        <f>50.4+120+39.93+6+620</f>
        <v>836.33</v>
      </c>
      <c r="D37" s="116">
        <f>$D$50*0.2</f>
        <v>333.42199999999997</v>
      </c>
      <c r="E37" s="105">
        <f>167+126</f>
        <v>293</v>
      </c>
      <c r="F37" s="116">
        <f>$D$50*0.2</f>
        <v>333.42199999999997</v>
      </c>
      <c r="G37" s="105"/>
      <c r="H37" s="116">
        <f>H50*0.2</f>
        <v>151.38800000000001</v>
      </c>
      <c r="I37" s="105">
        <v>142.4</v>
      </c>
      <c r="J37" s="117">
        <f>J50*0.2</f>
        <v>212.208</v>
      </c>
      <c r="K37" s="108">
        <f>76.5+17</f>
        <v>93.5</v>
      </c>
      <c r="L37" s="94">
        <f>L50*0.2</f>
        <v>203.38800000000003</v>
      </c>
      <c r="M37" s="87">
        <f>162.6+50+15</f>
        <v>227.6</v>
      </c>
      <c r="N37" s="69">
        <f>N50*0.2</f>
        <v>254.58800000000002</v>
      </c>
      <c r="O37" s="68"/>
      <c r="P37" s="49">
        <f>P50*0.2</f>
        <v>254.58800000000002</v>
      </c>
      <c r="Q37" s="11"/>
      <c r="R37" s="69">
        <f>R50*0.2</f>
        <v>254.58800000000002</v>
      </c>
      <c r="S37" s="68"/>
    </row>
    <row r="38" spans="1:19" s="24" customFormat="1" x14ac:dyDescent="0.25">
      <c r="A38" s="22" t="s">
        <v>19</v>
      </c>
      <c r="B38" s="114">
        <f>B$50*0.2</f>
        <v>349.50599999999997</v>
      </c>
      <c r="C38" s="114">
        <f>Одежда!A$33</f>
        <v>158</v>
      </c>
      <c r="D38" s="118">
        <f>$D$50*0.2</f>
        <v>333.42199999999997</v>
      </c>
      <c r="E38" s="105">
        <f>Одежда!B$33</f>
        <v>1226.82</v>
      </c>
      <c r="F38" s="118">
        <f>$D$50*0.2</f>
        <v>333.42199999999997</v>
      </c>
      <c r="G38" s="105">
        <f>Одежда!C33</f>
        <v>36.57</v>
      </c>
      <c r="H38" s="118">
        <f>H50*0.4</f>
        <v>302.77600000000001</v>
      </c>
      <c r="I38" s="105">
        <f>Одежда!E33</f>
        <v>700</v>
      </c>
      <c r="J38" s="119">
        <f>J50*0.2</f>
        <v>212.208</v>
      </c>
      <c r="K38" s="107">
        <f>Одежда!G33</f>
        <v>977.93</v>
      </c>
      <c r="L38" s="96">
        <f>L50*0.2</f>
        <v>203.38800000000003</v>
      </c>
      <c r="M38" s="97">
        <f>Одежда!I33</f>
        <v>115</v>
      </c>
      <c r="N38" s="71">
        <f>N50*0.2</f>
        <v>254.58800000000002</v>
      </c>
      <c r="O38" s="72">
        <f>Одежда!K33</f>
        <v>0</v>
      </c>
      <c r="P38" s="44">
        <f>P50*0.2</f>
        <v>254.58800000000002</v>
      </c>
      <c r="Q38" s="45">
        <f>Одежда!M33</f>
        <v>0</v>
      </c>
      <c r="R38" s="71">
        <f>R50*0.2</f>
        <v>254.58800000000002</v>
      </c>
      <c r="S38" s="72">
        <f>Одежда!O33</f>
        <v>0</v>
      </c>
    </row>
    <row r="39" spans="1:19" s="24" customFormat="1" x14ac:dyDescent="0.25">
      <c r="A39" s="19" t="s">
        <v>11</v>
      </c>
      <c r="B39" s="111">
        <f>B$50*0.1</f>
        <v>174.75299999999999</v>
      </c>
      <c r="C39" s="114">
        <f>Отдых!A33</f>
        <v>138.16</v>
      </c>
      <c r="D39" s="116">
        <f t="shared" ref="D39:F39" si="30">$D$50*0.2</f>
        <v>333.42199999999997</v>
      </c>
      <c r="E39" s="105">
        <f>Отдых!B33</f>
        <v>221.2</v>
      </c>
      <c r="F39" s="116">
        <f t="shared" si="30"/>
        <v>333.42199999999997</v>
      </c>
      <c r="G39" s="105">
        <f>Отдых!D33</f>
        <v>0</v>
      </c>
      <c r="H39" s="116">
        <f>H50*0</f>
        <v>0</v>
      </c>
      <c r="I39" s="105">
        <f>Отдых!F33</f>
        <v>0</v>
      </c>
      <c r="J39" s="117">
        <f>J50*0.2</f>
        <v>212.208</v>
      </c>
      <c r="K39" s="107">
        <f>Отдых!G33</f>
        <v>256.21999999999997</v>
      </c>
      <c r="L39" s="94">
        <f>L50*0.2</f>
        <v>203.38800000000003</v>
      </c>
      <c r="M39" s="87"/>
      <c r="N39" s="69">
        <f>N50*0.2</f>
        <v>254.58800000000002</v>
      </c>
      <c r="O39" s="68"/>
      <c r="P39" s="49">
        <f>P50*0.2</f>
        <v>254.58800000000002</v>
      </c>
      <c r="Q39" s="11"/>
      <c r="R39" s="69">
        <f>R50*0.2</f>
        <v>254.58800000000002</v>
      </c>
      <c r="S39" s="68"/>
    </row>
    <row r="40" spans="1:19" s="25" customFormat="1" x14ac:dyDescent="0.25">
      <c r="A40" s="34" t="s">
        <v>43</v>
      </c>
      <c r="B40" s="114">
        <f>B$50*0</f>
        <v>0</v>
      </c>
      <c r="C40" s="114"/>
      <c r="D40" s="118">
        <f>$D$50*0.1</f>
        <v>166.71099999999998</v>
      </c>
      <c r="E40" s="105"/>
      <c r="F40" s="118">
        <f>$D$50*0.1</f>
        <v>166.71099999999998</v>
      </c>
      <c r="G40" s="105"/>
      <c r="H40" s="118">
        <f>H50*0.3</f>
        <v>227.08200000000002</v>
      </c>
      <c r="I40" s="105"/>
      <c r="J40" s="119">
        <f>J50*0.1</f>
        <v>106.104</v>
      </c>
      <c r="K40" s="107"/>
      <c r="L40" s="96">
        <f>L50*0.1</f>
        <v>101.69400000000002</v>
      </c>
      <c r="M40" s="97"/>
      <c r="N40" s="71">
        <f>N50*0.1</f>
        <v>127.29400000000001</v>
      </c>
      <c r="O40" s="72"/>
      <c r="P40" s="44">
        <f>P50*0.1</f>
        <v>127.29400000000001</v>
      </c>
      <c r="Q40" s="45"/>
      <c r="R40" s="71">
        <f>R50*0.1</f>
        <v>127.29400000000001</v>
      </c>
      <c r="S40" s="72"/>
    </row>
    <row r="41" spans="1:19" s="25" customFormat="1" ht="14.25" x14ac:dyDescent="0.2">
      <c r="A41" s="19" t="s">
        <v>53</v>
      </c>
      <c r="B41" s="111"/>
      <c r="C41" s="111"/>
      <c r="D41" s="116">
        <f>$D$50*0.05</f>
        <v>83.355499999999992</v>
      </c>
      <c r="E41" s="105"/>
      <c r="F41" s="116">
        <f>$D$50*0.05</f>
        <v>83.355499999999992</v>
      </c>
      <c r="G41" s="105">
        <f>100+101.51</f>
        <v>201.51</v>
      </c>
      <c r="H41" s="116">
        <f>H50*0.05</f>
        <v>37.847000000000001</v>
      </c>
      <c r="I41" s="105">
        <f>69.23+42.63+70.81+70.81</f>
        <v>253.48000000000002</v>
      </c>
      <c r="J41" s="117">
        <f>J50*0.15</f>
        <v>159.15599999999998</v>
      </c>
      <c r="K41" s="107">
        <f>34.35</f>
        <v>34.35</v>
      </c>
      <c r="L41" s="94">
        <f>L50*0.05</f>
        <v>50.847000000000008</v>
      </c>
      <c r="M41" s="87">
        <f>10.03</f>
        <v>10.029999999999999</v>
      </c>
      <c r="N41" s="69">
        <f>N50*0.05</f>
        <v>63.647000000000006</v>
      </c>
      <c r="O41" s="68"/>
      <c r="P41" s="49">
        <f>P50*0.05</f>
        <v>63.647000000000006</v>
      </c>
      <c r="Q41" s="11"/>
      <c r="R41" s="69">
        <f>R50*0.05</f>
        <v>63.647000000000006</v>
      </c>
      <c r="S41" s="68"/>
    </row>
    <row r="42" spans="1:19" s="25" customFormat="1" x14ac:dyDescent="0.25">
      <c r="A42" s="34" t="s">
        <v>38</v>
      </c>
      <c r="B42" s="105">
        <f>B$50*0</f>
        <v>0</v>
      </c>
      <c r="C42" s="105"/>
      <c r="D42" s="120">
        <f>$D$50*0.2</f>
        <v>333.42199999999997</v>
      </c>
      <c r="E42" s="105">
        <v>200</v>
      </c>
      <c r="F42" s="120">
        <f>$D$50*0.2</f>
        <v>333.42199999999997</v>
      </c>
      <c r="G42" s="105"/>
      <c r="H42" s="120">
        <f>H50*0</f>
        <v>0</v>
      </c>
      <c r="I42" s="105"/>
      <c r="J42" s="121">
        <f>J50*0.05</f>
        <v>53.052</v>
      </c>
      <c r="K42" s="107"/>
      <c r="L42" s="98">
        <f>L50*0.2</f>
        <v>203.38800000000003</v>
      </c>
      <c r="M42" s="97">
        <f>194.53 +47.01</f>
        <v>241.54</v>
      </c>
      <c r="N42" s="73">
        <f>N50*0.2</f>
        <v>254.58800000000002</v>
      </c>
      <c r="O42" s="72"/>
      <c r="P42" s="50">
        <f>P50*0.2</f>
        <v>254.58800000000002</v>
      </c>
      <c r="Q42" s="45"/>
      <c r="R42" s="73">
        <f>R50*0.2</f>
        <v>254.58800000000002</v>
      </c>
      <c r="S42" s="72"/>
    </row>
    <row r="43" spans="1:19" s="25" customFormat="1" ht="14.25" x14ac:dyDescent="0.2">
      <c r="A43" s="19" t="s">
        <v>52</v>
      </c>
      <c r="B43" s="122">
        <f>B$50*0.1</f>
        <v>174.75299999999999</v>
      </c>
      <c r="C43" s="114">
        <f>Непредвиденные!A33</f>
        <v>605.72</v>
      </c>
      <c r="D43" s="116">
        <f>$D$50*0.05</f>
        <v>83.355499999999992</v>
      </c>
      <c r="E43" s="114">
        <f>Непредвиденные!B33</f>
        <v>209.51</v>
      </c>
      <c r="F43" s="116">
        <f>$D$50*0.05</f>
        <v>83.355499999999992</v>
      </c>
      <c r="G43" s="114">
        <f>Непредвиденные!C33</f>
        <v>25</v>
      </c>
      <c r="H43" s="116">
        <f>H50*0.05</f>
        <v>37.847000000000001</v>
      </c>
      <c r="I43" s="114">
        <f>10+24+1.12+2.87+0.74+1.12+1.12+0.74+0.74+0.98+2.87+0.74+47.45+0.91+5.2+3.06+15.4</f>
        <v>119.06</v>
      </c>
      <c r="J43" s="117">
        <f>J50*0.1</f>
        <v>106.104</v>
      </c>
      <c r="K43" s="115">
        <f>Непредвиденные!G33</f>
        <v>594.09</v>
      </c>
      <c r="L43" s="94">
        <f>L50*0.05</f>
        <v>50.847000000000008</v>
      </c>
      <c r="M43" s="93">
        <f>25+14+14+1.14</f>
        <v>54.14</v>
      </c>
      <c r="N43" s="69">
        <f>N50*0.05</f>
        <v>63.647000000000006</v>
      </c>
      <c r="O43" s="67"/>
      <c r="P43" s="49">
        <f>P50*0.05</f>
        <v>63.647000000000006</v>
      </c>
      <c r="Q43" s="20"/>
      <c r="R43" s="69">
        <f>R50*0.05</f>
        <v>63.647000000000006</v>
      </c>
      <c r="S43" s="67"/>
    </row>
    <row r="44" spans="1:19" s="28" customFormat="1" ht="15.75" x14ac:dyDescent="0.25">
      <c r="A44" s="26" t="s">
        <v>40</v>
      </c>
      <c r="B44" s="123">
        <f t="shared" ref="B44:E44" si="31">SUM(B2,B7,B11,B12,B15,B21,B27,B28,B36)</f>
        <v>3906.62</v>
      </c>
      <c r="C44" s="123">
        <f t="shared" si="31"/>
        <v>4092.84</v>
      </c>
      <c r="D44" s="123">
        <f t="shared" si="31"/>
        <v>3782.5299999999997</v>
      </c>
      <c r="E44" s="106">
        <f t="shared" si="31"/>
        <v>3720.5099999999998</v>
      </c>
      <c r="F44" s="123">
        <f>SUM(F2,F7,F11,F12,F15,F21,F27,F28,F36)</f>
        <v>3817.7799999999997</v>
      </c>
      <c r="G44" s="106">
        <f>SUM(G2,G7,G11,G12,G15,G21,G27,G28,G36)</f>
        <v>3233.65</v>
      </c>
      <c r="H44" s="123">
        <f>SUM(H2,H7,H11,H12,H15,H21,H27,H28,H36,H35)</f>
        <v>3579.06</v>
      </c>
      <c r="I44" s="106">
        <f>SUM(I2,I7,I11,I12,I15,I21,I27,I28,I36)</f>
        <v>3778.5974999999999</v>
      </c>
      <c r="J44" s="124">
        <f>SUM(J2,J7,J11,J12,J15,J21,J27,J28,J36,J35)</f>
        <v>3704.96</v>
      </c>
      <c r="K44" s="108">
        <f>SUM(K2,K7,K11,K12,K15,K21,K27,K28,K36)</f>
        <v>3523.5340000000001</v>
      </c>
      <c r="L44" s="99">
        <f>SUM(L2,L7,L11,L12,L15,L21,L27,L28,L36,L35)</f>
        <v>3749.06</v>
      </c>
      <c r="M44" s="90">
        <f>SUM(M2,M7,M11,M12,M15,M21,M27,M28,M36)</f>
        <v>2670.6953999999996</v>
      </c>
      <c r="N44" s="74">
        <f>SUM(N2,N7,N11,N12,N15,N21,N27,N28,N36,N35)</f>
        <v>3493.06</v>
      </c>
      <c r="O44" s="64">
        <f>SUM(O2,O7,O11,O12,O15,O21,O27,O28,O36)</f>
        <v>0</v>
      </c>
      <c r="P44" s="27">
        <f>SUM(P2,P7,P11,P12,P15,P21,P27,P28,P36,P35)</f>
        <v>3493.06</v>
      </c>
      <c r="Q44" s="47">
        <f>SUM(Q2,Q7,Q11,Q12,Q15,Q21,Q27,Q28,Q36)</f>
        <v>0</v>
      </c>
      <c r="R44" s="74">
        <f>SUM(R2,R7,R11,R12,R15,R21,R27,R28,R36,R35)</f>
        <v>3493.06</v>
      </c>
      <c r="S44" s="64">
        <f>SUM(S2,S7,S11,S12,S15,S21,S27,S28,S36)</f>
        <v>0</v>
      </c>
    </row>
    <row r="45" spans="1:19" s="3" customFormat="1" ht="18.75" x14ac:dyDescent="0.3">
      <c r="A45" s="35" t="s">
        <v>32</v>
      </c>
      <c r="B45" s="113">
        <f>SUM(B46:B49)</f>
        <v>5654.15</v>
      </c>
      <c r="C45" s="113">
        <f>SUM(C46:C49)</f>
        <v>5919.33</v>
      </c>
      <c r="D45" s="113">
        <f t="shared" ref="D45:E45" si="32">SUM(D46:D49)</f>
        <v>5449.6399999999994</v>
      </c>
      <c r="E45" s="106">
        <f t="shared" si="32"/>
        <v>5931.53</v>
      </c>
      <c r="F45" s="113">
        <f t="shared" ref="F45:G45" si="33">SUM(F46:F49)</f>
        <v>4812</v>
      </c>
      <c r="G45" s="106">
        <f t="shared" si="33"/>
        <v>3999.67</v>
      </c>
      <c r="H45" s="113">
        <f t="shared" ref="H45:I45" si="34">SUM(H46:H49)</f>
        <v>4336</v>
      </c>
      <c r="I45" s="106">
        <f t="shared" si="34"/>
        <v>4300.3899999999994</v>
      </c>
      <c r="J45" s="125">
        <f t="shared" ref="J45:K45" si="35">SUM(J46:J49)</f>
        <v>4766</v>
      </c>
      <c r="K45" s="108">
        <f t="shared" si="35"/>
        <v>5544.1</v>
      </c>
      <c r="L45" s="100">
        <f t="shared" ref="L45:M45" si="36">SUM(L46:L49)</f>
        <v>4766</v>
      </c>
      <c r="M45" s="90">
        <f t="shared" si="36"/>
        <v>4451.5499999999993</v>
      </c>
      <c r="N45" s="63">
        <f t="shared" ref="N45:Q45" si="37">SUM(N46:N49)</f>
        <v>4766</v>
      </c>
      <c r="O45" s="64">
        <f t="shared" si="37"/>
        <v>0</v>
      </c>
      <c r="P45" s="4">
        <f t="shared" si="37"/>
        <v>4766</v>
      </c>
      <c r="Q45" s="47">
        <f t="shared" si="37"/>
        <v>0</v>
      </c>
      <c r="R45" s="63">
        <f t="shared" ref="R45:S45" si="38">SUM(R46:R49)</f>
        <v>4766</v>
      </c>
      <c r="S45" s="64">
        <f t="shared" si="38"/>
        <v>0</v>
      </c>
    </row>
    <row r="46" spans="1:19" s="3" customFormat="1" ht="18.75" x14ac:dyDescent="0.3">
      <c r="A46" s="36" t="s">
        <v>31</v>
      </c>
      <c r="B46" s="113">
        <f>2848+464+1500</f>
        <v>4812</v>
      </c>
      <c r="C46" s="113">
        <f>2848+464+763.62+463.56+538</f>
        <v>5077.18</v>
      </c>
      <c r="D46" s="113">
        <f>3149.64+1000+1500-200</f>
        <v>5449.6399999999994</v>
      </c>
      <c r="E46" s="106">
        <f>3149.64+1000-200+464+4.35+541.12+360.42+612</f>
        <v>5931.53</v>
      </c>
      <c r="F46" s="113">
        <f>2848+464+1500</f>
        <v>4812</v>
      </c>
      <c r="G46" s="106">
        <f>2675.65+677.62+8.4</f>
        <v>3361.67</v>
      </c>
      <c r="H46" s="113">
        <f>3036+1300</f>
        <v>4336</v>
      </c>
      <c r="I46" s="106">
        <f>2797.25+239.49+5.88+450.7+127.07+680</f>
        <v>4300.3899999999994</v>
      </c>
      <c r="J46" s="125">
        <f>3266+1500</f>
        <v>4766</v>
      </c>
      <c r="K46" s="108">
        <f>464+2797.25+6.79+707.79+555.27+680</f>
        <v>5211.1000000000004</v>
      </c>
      <c r="L46" s="100">
        <f>3266+1500</f>
        <v>4766</v>
      </c>
      <c r="M46" s="90">
        <f>464+3209.31+770.59+7.65</f>
        <v>4451.5499999999993</v>
      </c>
      <c r="N46" s="63">
        <f>3266+1500</f>
        <v>4766</v>
      </c>
      <c r="O46" s="64"/>
      <c r="P46" s="4">
        <f>3266+1500</f>
        <v>4766</v>
      </c>
      <c r="Q46" s="47"/>
      <c r="R46" s="63">
        <f>3266+1500</f>
        <v>4766</v>
      </c>
      <c r="S46" s="64"/>
    </row>
    <row r="47" spans="1:19" x14ac:dyDescent="0.25">
      <c r="A47" s="7" t="s">
        <v>29</v>
      </c>
      <c r="B47" s="113">
        <v>320</v>
      </c>
      <c r="C47" s="113">
        <f>320</f>
        <v>320</v>
      </c>
      <c r="E47" s="106"/>
      <c r="G47" s="106">
        <v>170</v>
      </c>
      <c r="I47" s="106"/>
      <c r="K47" s="108"/>
      <c r="M47" s="90"/>
      <c r="N47" s="75"/>
      <c r="O47" s="64"/>
      <c r="Q47" s="47"/>
      <c r="R47" s="75"/>
      <c r="S47" s="64"/>
    </row>
    <row r="48" spans="1:19" x14ac:dyDescent="0.25">
      <c r="A48" s="7" t="s">
        <v>30</v>
      </c>
      <c r="B48" s="113">
        <f>168+4.15</f>
        <v>172.15</v>
      </c>
      <c r="C48" s="113">
        <f>168+4.15</f>
        <v>172.15</v>
      </c>
      <c r="E48" s="106"/>
      <c r="G48" s="106">
        <v>168</v>
      </c>
      <c r="I48" s="106"/>
      <c r="K48" s="108">
        <f>90+168+75</f>
        <v>333</v>
      </c>
      <c r="M48" s="90"/>
      <c r="N48" s="75"/>
      <c r="O48" s="64"/>
      <c r="Q48" s="47"/>
      <c r="R48" s="75"/>
      <c r="S48" s="64"/>
    </row>
    <row r="49" spans="1:19" x14ac:dyDescent="0.25">
      <c r="A49" s="7" t="s">
        <v>47</v>
      </c>
      <c r="B49" s="113">
        <v>350</v>
      </c>
      <c r="C49" s="113">
        <v>350</v>
      </c>
      <c r="E49" s="106"/>
      <c r="G49" s="106">
        <f>100+200</f>
        <v>300</v>
      </c>
      <c r="I49" s="106"/>
      <c r="K49" s="108"/>
      <c r="M49" s="90"/>
      <c r="N49" s="75"/>
      <c r="O49" s="64"/>
      <c r="Q49" s="47"/>
      <c r="R49" s="75"/>
      <c r="S49" s="64"/>
    </row>
    <row r="50" spans="1:19" x14ac:dyDescent="0.25">
      <c r="A50" s="7" t="s">
        <v>83</v>
      </c>
      <c r="B50" s="113">
        <f t="shared" ref="B50:E50" si="39">B45-B44</f>
        <v>1747.5299999999997</v>
      </c>
      <c r="C50" s="113">
        <f t="shared" si="39"/>
        <v>1826.4899999999998</v>
      </c>
      <c r="D50" s="113">
        <f t="shared" si="39"/>
        <v>1667.1099999999997</v>
      </c>
      <c r="E50" s="106">
        <f t="shared" si="39"/>
        <v>2211.02</v>
      </c>
      <c r="F50" s="113">
        <f t="shared" ref="F50:G50" si="40">F45-F44</f>
        <v>994.22000000000025</v>
      </c>
      <c r="G50" s="106">
        <f t="shared" si="40"/>
        <v>766.02</v>
      </c>
      <c r="H50" s="113">
        <f t="shared" ref="H50:I50" si="41">H45-H44</f>
        <v>756.94</v>
      </c>
      <c r="I50" s="106">
        <f t="shared" si="41"/>
        <v>521.79249999999956</v>
      </c>
      <c r="J50" s="125">
        <f>J45-J44</f>
        <v>1061.04</v>
      </c>
      <c r="K50" s="108">
        <f t="shared" ref="K50:M50" si="42">K45-K44</f>
        <v>2020.5660000000003</v>
      </c>
      <c r="L50" s="100">
        <f>L45-L44</f>
        <v>1016.94</v>
      </c>
      <c r="M50" s="90">
        <f t="shared" si="42"/>
        <v>1780.8545999999997</v>
      </c>
      <c r="N50" s="63">
        <f>N45-N44</f>
        <v>1272.94</v>
      </c>
      <c r="O50" s="64">
        <f t="shared" ref="O50" si="43">O45-O44</f>
        <v>0</v>
      </c>
      <c r="P50" s="4">
        <f>P45-P44</f>
        <v>1272.94</v>
      </c>
      <c r="Q50" s="47">
        <f t="shared" ref="Q50" si="44">Q45-Q44</f>
        <v>0</v>
      </c>
      <c r="R50" s="63">
        <f>R45-R44</f>
        <v>1272.94</v>
      </c>
      <c r="S50" s="64">
        <f t="shared" ref="S50" si="45">S45-S44</f>
        <v>0</v>
      </c>
    </row>
    <row r="51" spans="1:19" x14ac:dyDescent="0.25">
      <c r="A51" s="7" t="s">
        <v>51</v>
      </c>
      <c r="B51" s="113"/>
      <c r="C51" s="113">
        <v>200</v>
      </c>
      <c r="E51" s="106"/>
      <c r="G51" s="106"/>
      <c r="I51" s="106"/>
      <c r="K51" s="108"/>
      <c r="M51" s="90"/>
      <c r="N51" s="75"/>
      <c r="O51" s="64"/>
      <c r="Q51" s="47"/>
      <c r="R51" s="75"/>
      <c r="S51" s="64"/>
    </row>
    <row r="52" spans="1:19" x14ac:dyDescent="0.25">
      <c r="A52" s="7" t="s">
        <v>20</v>
      </c>
      <c r="B52" s="113"/>
      <c r="C52" s="113"/>
      <c r="N52" s="75"/>
      <c r="O52" s="76"/>
      <c r="R52" s="75"/>
      <c r="S52" s="76"/>
    </row>
    <row r="53" spans="1:19" s="2" customFormat="1" ht="15.75" x14ac:dyDescent="0.25">
      <c r="A53" s="7" t="s">
        <v>44</v>
      </c>
      <c r="B53" s="128"/>
      <c r="C53" s="123">
        <f>C2+C7+C11+C12+C15+C21+C27+C28+C38+C39+C40+C36+C42+C37+C41+C43</f>
        <v>5831.05</v>
      </c>
      <c r="D53" s="123"/>
      <c r="E53" s="123">
        <f>E2+E7+E11+E12+E15+E21+E27+E28+E38+E39+E40+E36+E42+E37+E41+E43</f>
        <v>5871.0399999999991</v>
      </c>
      <c r="F53" s="123"/>
      <c r="G53" s="123">
        <f>G2+G7+G11+G12+G15+G21+G27+G28+G38+G39+G40+G36+G42+G37+G41+G43</f>
        <v>3496.7300000000005</v>
      </c>
      <c r="H53" s="123"/>
      <c r="I53" s="123">
        <f>I2+I7+I11+I12+I15+I21+I27+I28+I38+I39+I40+I36+I42+I37+I41+I43+I35</f>
        <v>5254.5374999999995</v>
      </c>
      <c r="J53" s="124"/>
      <c r="K53" s="124">
        <f>K2+K7+K11+K12+K15+K21+K27+K28+K38+K39+K40+K36+K42+K37+K41+K43+K35</f>
        <v>5578.6239999999998</v>
      </c>
      <c r="L53" s="99"/>
      <c r="M53" s="99">
        <f>M2+M7+M11+M12+M15+M21+M27+M28+M38+M39+M40+M36+M42+M37+M41+M43+M35</f>
        <v>3478.0353999999998</v>
      </c>
      <c r="N53" s="74"/>
      <c r="O53" s="77">
        <f>O2+O7+O11+O12+O15+O21+O27+O28+O38+O39+O40+O36+O42+O37+O41+O43+O35</f>
        <v>0</v>
      </c>
      <c r="P53" s="27"/>
      <c r="Q53" s="27">
        <f>Q2+Q7+Q11+Q12+Q15+Q21+Q27+Q28+Q38+Q39+Q40+Q36+Q42+Q37+Q41+Q43+Q35</f>
        <v>0</v>
      </c>
      <c r="R53" s="74"/>
      <c r="S53" s="77">
        <f>S2+S7+S11+S12+S15+S21+S27+S28+S38+S39+S40+S36+S42+S37+S41+S43+S35</f>
        <v>0</v>
      </c>
    </row>
    <row r="54" spans="1:19" s="2" customFormat="1" ht="15.75" x14ac:dyDescent="0.25">
      <c r="A54" s="7" t="s">
        <v>45</v>
      </c>
      <c r="B54" s="128"/>
      <c r="C54" s="123">
        <f>C45-C53</f>
        <v>88.279999999999745</v>
      </c>
      <c r="D54" s="123"/>
      <c r="E54" s="123">
        <f t="shared" ref="E54" si="46">E45-E53</f>
        <v>60.490000000000691</v>
      </c>
      <c r="F54" s="123"/>
      <c r="G54" s="123">
        <f>G45-G53</f>
        <v>502.9399999999996</v>
      </c>
      <c r="H54" s="123"/>
      <c r="I54" s="123">
        <f>I45-I53</f>
        <v>-954.14750000000004</v>
      </c>
      <c r="J54" s="124"/>
      <c r="K54" s="124">
        <f>K45-K53</f>
        <v>-34.523999999999432</v>
      </c>
      <c r="L54" s="99"/>
      <c r="M54" s="99">
        <f>M45-M53</f>
        <v>973.51459999999952</v>
      </c>
      <c r="N54" s="74"/>
      <c r="O54" s="77">
        <f>O45-O53</f>
        <v>0</v>
      </c>
      <c r="P54" s="27"/>
      <c r="Q54" s="27">
        <f>Q45-Q53</f>
        <v>0</v>
      </c>
      <c r="R54" s="74"/>
      <c r="S54" s="77">
        <f>S45-S53</f>
        <v>0</v>
      </c>
    </row>
    <row r="55" spans="1:19" x14ac:dyDescent="0.25">
      <c r="E55" s="129"/>
      <c r="G55" s="129"/>
      <c r="I55" s="129"/>
      <c r="K55" s="130"/>
      <c r="M55" s="102"/>
      <c r="N55" s="75"/>
      <c r="O55" s="78"/>
      <c r="Q55" s="51"/>
      <c r="R55" s="75"/>
      <c r="S55" s="78"/>
    </row>
    <row r="56" spans="1:19" ht="15.75" thickBot="1" x14ac:dyDescent="0.3">
      <c r="A56" s="6" t="s">
        <v>84</v>
      </c>
      <c r="B56" s="129"/>
      <c r="C56" s="129"/>
      <c r="D56" s="129"/>
      <c r="E56" s="129"/>
      <c r="F56" s="129"/>
      <c r="G56" s="129"/>
      <c r="H56" s="129">
        <f>H45-H2-H7-H11-H12-H15-H21-H27-H28-H35-H36-H37-H38-H39-H40-H41-H42-H43</f>
        <v>0</v>
      </c>
      <c r="J56" s="130">
        <f>J45-J2-J7-J11-J12-J15-J21-J27-J28-J35-J36-J37-J38-J39-J40-J41-J42-J43</f>
        <v>0</v>
      </c>
      <c r="L56" s="102">
        <f>L45-L2-L7-L11-L12-L15-L21-L27-L28-L35-L36-L37-L38-L39-L40-L41-L42-L43</f>
        <v>-1.1368683772161603E-13</v>
      </c>
      <c r="N56" s="79">
        <f>N45-N2-N7-N11-N12-N15-N21-N27-N28-N35-N36-N37-N38-N39-N40-N41-N42-N43</f>
        <v>0</v>
      </c>
      <c r="O56" s="80"/>
      <c r="P56" s="51">
        <f>P45-P2-P7-P11-P12-P15-P21-P27-P28-P35-P36-P37-P38-P39-P40-P41-P42-P43</f>
        <v>0</v>
      </c>
      <c r="R56" s="79">
        <f>R45-R2-R7-R11-R12-R15-R21-R27-R28-R35-R36-R37-R38-R39-R40-R41-R42-R43</f>
        <v>0</v>
      </c>
      <c r="S56" s="80"/>
    </row>
    <row r="60" spans="1:19" x14ac:dyDescent="0.25">
      <c r="K60" s="127" t="s">
        <v>100</v>
      </c>
    </row>
  </sheetData>
  <conditionalFormatting sqref="C36:C37 C43:C46 C2 C27:C28">
    <cfRule type="expression" dxfId="40" priority="65" stopIfTrue="1">
      <formula>$C2&gt;$B2</formula>
    </cfRule>
    <cfRule type="expression" dxfId="39" priority="70" stopIfTrue="1">
      <formula>$C2&gt;$B2*0.8</formula>
    </cfRule>
    <cfRule type="expression" dxfId="38" priority="71" stopIfTrue="1">
      <formula>$C2&gt;$B2*0.5</formula>
    </cfRule>
  </conditionalFormatting>
  <conditionalFormatting sqref="A51:A52 C38:C40 C3:C26 C29:C34 C51:C52">
    <cfRule type="expression" dxfId="37" priority="62" stopIfTrue="1">
      <formula>$C3&gt;$B3</formula>
    </cfRule>
    <cfRule type="expression" dxfId="36" priority="63" stopIfTrue="1">
      <formula>$C3&gt;$B3*0.8</formula>
    </cfRule>
    <cfRule type="expression" dxfId="35" priority="64" stopIfTrue="1">
      <formula>$C3&gt;$B3*0.5</formula>
    </cfRule>
  </conditionalFormatting>
  <conditionalFormatting sqref="C42">
    <cfRule type="expression" dxfId="34" priority="56" stopIfTrue="1">
      <formula>$C42&gt;$B42</formula>
    </cfRule>
    <cfRule type="expression" dxfId="33" priority="57" stopIfTrue="1">
      <formula>$C42&gt;$B42*0.8</formula>
    </cfRule>
    <cfRule type="expression" dxfId="32" priority="58" stopIfTrue="1">
      <formula>$C42&gt;$B42*0.5</formula>
    </cfRule>
  </conditionalFormatting>
  <conditionalFormatting sqref="E52">
    <cfRule type="expression" dxfId="31" priority="43" stopIfTrue="1">
      <formula>$E52&gt;$D52</formula>
    </cfRule>
  </conditionalFormatting>
  <conditionalFormatting sqref="E2">
    <cfRule type="expression" dxfId="30" priority="38" stopIfTrue="1">
      <formula>$E2&gt;$D2</formula>
    </cfRule>
    <cfRule type="expression" dxfId="29" priority="39" stopIfTrue="1">
      <formula>$E2&gt;$D2*0.8</formula>
    </cfRule>
    <cfRule type="expression" dxfId="28" priority="40" stopIfTrue="1">
      <formula>$E2&gt;$D2*0.5</formula>
    </cfRule>
  </conditionalFormatting>
  <conditionalFormatting sqref="E3:E7">
    <cfRule type="expression" dxfId="27" priority="29" stopIfTrue="1">
      <formula>$E3&gt;$D3</formula>
    </cfRule>
    <cfRule type="expression" dxfId="26" priority="30" stopIfTrue="1">
      <formula>$E3&gt;$D3*0.8</formula>
    </cfRule>
    <cfRule type="expression" dxfId="25" priority="31" stopIfTrue="1">
      <formula>$E3&gt;$D3*0.5</formula>
    </cfRule>
  </conditionalFormatting>
  <conditionalFormatting sqref="E8:E14">
    <cfRule type="expression" dxfId="24" priority="26" stopIfTrue="1">
      <formula>$E8&gt;$D8</formula>
    </cfRule>
    <cfRule type="expression" dxfId="23" priority="27" stopIfTrue="1">
      <formula>$E8&gt;$D8*0.8</formula>
    </cfRule>
    <cfRule type="expression" dxfId="22" priority="28" stopIfTrue="1">
      <formula>$E8&gt;$D8*0.5</formula>
    </cfRule>
  </conditionalFormatting>
  <conditionalFormatting sqref="E15:E34 E36:E51">
    <cfRule type="expression" dxfId="21" priority="23" stopIfTrue="1">
      <formula>$E15&gt;$D15</formula>
    </cfRule>
    <cfRule type="expression" dxfId="20" priority="24" stopIfTrue="1">
      <formula>$E15&gt;$D15*0.8</formula>
    </cfRule>
    <cfRule type="expression" dxfId="19" priority="25" stopIfTrue="1">
      <formula>$E15&gt;$D15*0.5</formula>
    </cfRule>
  </conditionalFormatting>
  <conditionalFormatting sqref="G52 I52 K52 M52 O52 Q52 S52">
    <cfRule type="expression" dxfId="18" priority="22" stopIfTrue="1">
      <formula>G52&gt;F52</formula>
    </cfRule>
  </conditionalFormatting>
  <conditionalFormatting sqref="G2 I2 K2 M2 O2 Q2 S2">
    <cfRule type="expression" dxfId="17" priority="19" stopIfTrue="1">
      <formula>G2&gt;F2</formula>
    </cfRule>
    <cfRule type="expression" dxfId="16" priority="20" stopIfTrue="1">
      <formula>G2&gt;F2*0.8</formula>
    </cfRule>
    <cfRule type="expression" dxfId="15" priority="21" stopIfTrue="1">
      <formula>G2&gt;F2*0.5</formula>
    </cfRule>
  </conditionalFormatting>
  <conditionalFormatting sqref="G3:G7 I3:I7 K3:K7 M3:M7 O3:O7 Q3:Q7 S3:S7">
    <cfRule type="expression" dxfId="14" priority="16" stopIfTrue="1">
      <formula>G3&gt;F3</formula>
    </cfRule>
    <cfRule type="expression" dxfId="13" priority="17" stopIfTrue="1">
      <formula>G3&gt;F3*0.8</formula>
    </cfRule>
    <cfRule type="expression" dxfId="12" priority="18" stopIfTrue="1">
      <formula>G3&gt;F3*0.5</formula>
    </cfRule>
  </conditionalFormatting>
  <conditionalFormatting sqref="G8:G14 I8:I14 K8:K14 M8:M14 O8:O14 Q8:Q14 S8:S14">
    <cfRule type="expression" dxfId="11" priority="13" stopIfTrue="1">
      <formula>G8&gt;F8</formula>
    </cfRule>
    <cfRule type="expression" dxfId="10" priority="14" stopIfTrue="1">
      <formula>G8&gt;F8*0.8</formula>
    </cfRule>
    <cfRule type="expression" dxfId="9" priority="15" stopIfTrue="1">
      <formula>G8&gt;F8*0.5</formula>
    </cfRule>
  </conditionalFormatting>
  <conditionalFormatting sqref="G15:G34 G36:G51 I15:I34 I36:I51 K15:K34 M15:M34 M36:M51 O15:O34 O36:O51 Q15:Q34 Q36:Q51 S15:S34 S36:S51 K36:K51">
    <cfRule type="expression" dxfId="8" priority="10" stopIfTrue="1">
      <formula>G15&gt;F15</formula>
    </cfRule>
    <cfRule type="expression" dxfId="7" priority="11" stopIfTrue="1">
      <formula>G15&gt;F15*0.8</formula>
    </cfRule>
    <cfRule type="expression" dxfId="6" priority="12" stopIfTrue="1">
      <formula>G15&gt;F15*0.5</formula>
    </cfRule>
  </conditionalFormatting>
  <conditionalFormatting sqref="E35">
    <cfRule type="expression" dxfId="5" priority="4" stopIfTrue="1">
      <formula>$E35&gt;$D35</formula>
    </cfRule>
    <cfRule type="expression" dxfId="4" priority="5" stopIfTrue="1">
      <formula>$E35&gt;$D35*0.8</formula>
    </cfRule>
    <cfRule type="expression" dxfId="3" priority="6" stopIfTrue="1">
      <formula>$E35&gt;$D35*0.5</formula>
    </cfRule>
  </conditionalFormatting>
  <conditionalFormatting sqref="G35 I35 K35 M35 O35 Q35 S35">
    <cfRule type="expression" dxfId="2" priority="1" stopIfTrue="1">
      <formula>G35&gt;F35</formula>
    </cfRule>
    <cfRule type="expression" dxfId="1" priority="2" stopIfTrue="1">
      <formula>G35&gt;F35*0.8</formula>
    </cfRule>
    <cfRule type="expression" dxfId="0" priority="3" stopIfTrue="1">
      <formula>G35&gt;F35*0.5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3"/>
  <sheetViews>
    <sheetView workbookViewId="0">
      <selection activeCell="I3" sqref="I3"/>
    </sheetView>
  </sheetViews>
  <sheetFormatPr defaultRowHeight="15" x14ac:dyDescent="0.25"/>
  <cols>
    <col min="1" max="8" width="9.140625" style="84"/>
    <col min="9" max="9" width="9.140625" style="134"/>
  </cols>
  <sheetData>
    <row r="1" spans="1:25" x14ac:dyDescent="0.25">
      <c r="A1" s="84" t="s">
        <v>56</v>
      </c>
      <c r="B1" s="84" t="s">
        <v>57</v>
      </c>
      <c r="C1" s="84" t="s">
        <v>58</v>
      </c>
      <c r="D1" s="84" t="s">
        <v>59</v>
      </c>
      <c r="E1" s="135" t="s">
        <v>80</v>
      </c>
      <c r="F1" s="136"/>
      <c r="G1" s="85" t="s">
        <v>81</v>
      </c>
      <c r="I1" s="131" t="s">
        <v>87</v>
      </c>
      <c r="K1" s="58" t="s">
        <v>88</v>
      </c>
      <c r="M1" s="58" t="s">
        <v>89</v>
      </c>
      <c r="O1" s="58" t="s">
        <v>56</v>
      </c>
      <c r="Q1" s="58" t="s">
        <v>57</v>
      </c>
      <c r="S1" s="58" t="s">
        <v>58</v>
      </c>
      <c r="U1" s="58" t="s">
        <v>59</v>
      </c>
      <c r="W1" s="58" t="s">
        <v>90</v>
      </c>
      <c r="Y1" s="58" t="s">
        <v>91</v>
      </c>
    </row>
    <row r="2" spans="1:25" x14ac:dyDescent="0.25">
      <c r="A2" s="82">
        <f>35.15</f>
        <v>35.15</v>
      </c>
      <c r="B2" s="82"/>
      <c r="C2" s="82">
        <f>10.8+100+6.03+5.3+12</f>
        <v>134.13</v>
      </c>
      <c r="D2" s="82"/>
      <c r="E2" s="82"/>
      <c r="F2" s="136"/>
      <c r="G2" s="82"/>
      <c r="I2" s="132">
        <f>62</f>
        <v>62</v>
      </c>
      <c r="K2" s="5"/>
      <c r="M2" s="5"/>
      <c r="O2" s="5"/>
      <c r="Q2" s="5"/>
      <c r="S2" s="5"/>
      <c r="U2" s="5"/>
      <c r="W2" s="5"/>
      <c r="Y2" s="5"/>
    </row>
    <row r="3" spans="1:25" x14ac:dyDescent="0.25">
      <c r="A3" s="82"/>
      <c r="B3" s="82"/>
      <c r="C3" s="82"/>
      <c r="D3" s="82"/>
      <c r="E3" s="82"/>
      <c r="F3" s="136"/>
      <c r="G3" s="82"/>
      <c r="I3" s="132"/>
      <c r="K3" s="5"/>
      <c r="M3" s="5"/>
      <c r="O3" s="5"/>
      <c r="Q3" s="5"/>
      <c r="S3" s="5"/>
      <c r="U3" s="5"/>
      <c r="W3" s="5"/>
      <c r="Y3" s="5"/>
    </row>
    <row r="4" spans="1:25" x14ac:dyDescent="0.25">
      <c r="A4" s="82"/>
      <c r="B4" s="82"/>
      <c r="C4" s="82"/>
      <c r="D4" s="82"/>
      <c r="E4" s="82"/>
      <c r="F4" s="136"/>
      <c r="G4" s="82"/>
      <c r="I4" s="132"/>
      <c r="K4" s="5"/>
      <c r="M4" s="5"/>
      <c r="O4" s="5"/>
      <c r="Q4" s="5"/>
      <c r="S4" s="5"/>
      <c r="U4" s="5"/>
      <c r="W4" s="5"/>
      <c r="Y4" s="5"/>
    </row>
    <row r="5" spans="1:25" x14ac:dyDescent="0.25">
      <c r="A5" s="82"/>
      <c r="B5" s="82"/>
      <c r="C5" s="82"/>
      <c r="D5" s="82"/>
      <c r="E5" s="82"/>
      <c r="F5" s="136"/>
      <c r="G5" s="82"/>
      <c r="I5" s="132"/>
      <c r="K5" s="5"/>
      <c r="M5" s="5"/>
      <c r="O5" s="5"/>
      <c r="Q5" s="5"/>
      <c r="S5" s="5"/>
      <c r="U5" s="5"/>
      <c r="W5" s="5"/>
      <c r="Y5" s="5"/>
    </row>
    <row r="6" spans="1:25" x14ac:dyDescent="0.25">
      <c r="A6" s="82"/>
      <c r="B6" s="82"/>
      <c r="C6" s="82"/>
      <c r="D6" s="82"/>
      <c r="E6" s="82"/>
      <c r="F6" s="136"/>
      <c r="G6" s="82">
        <f>25.69+0.5</f>
        <v>26.19</v>
      </c>
      <c r="I6" s="132"/>
      <c r="K6" s="5"/>
      <c r="M6" s="5"/>
      <c r="O6" s="5"/>
      <c r="Q6" s="5"/>
      <c r="S6" s="5"/>
      <c r="U6" s="5"/>
      <c r="W6" s="5"/>
      <c r="Y6" s="5"/>
    </row>
    <row r="7" spans="1:25" x14ac:dyDescent="0.25">
      <c r="A7" s="82"/>
      <c r="B7" s="82">
        <f>42.5</f>
        <v>42.5</v>
      </c>
      <c r="C7" s="82"/>
      <c r="D7" s="82"/>
      <c r="E7" s="82"/>
      <c r="F7" s="136"/>
      <c r="G7" s="82"/>
      <c r="I7" s="132"/>
      <c r="K7" s="5"/>
      <c r="M7" s="5"/>
      <c r="O7" s="5"/>
      <c r="Q7" s="5"/>
      <c r="S7" s="5"/>
      <c r="U7" s="5"/>
      <c r="W7" s="5"/>
      <c r="Y7" s="5"/>
    </row>
    <row r="8" spans="1:25" x14ac:dyDescent="0.25">
      <c r="A8" s="82"/>
      <c r="B8" s="82">
        <f>33+26.08+5.3</f>
        <v>64.38</v>
      </c>
      <c r="C8" s="82"/>
      <c r="D8" s="82"/>
      <c r="E8" s="82"/>
      <c r="F8" s="136"/>
      <c r="G8" s="82"/>
      <c r="I8" s="132"/>
      <c r="K8" s="5"/>
      <c r="M8" s="5"/>
      <c r="O8" s="5"/>
      <c r="Q8" s="5"/>
      <c r="S8" s="5"/>
      <c r="U8" s="5"/>
      <c r="W8" s="5"/>
      <c r="Y8" s="5"/>
    </row>
    <row r="9" spans="1:25" x14ac:dyDescent="0.25">
      <c r="A9" s="82"/>
      <c r="B9" s="82"/>
      <c r="C9" s="82"/>
      <c r="D9" s="82"/>
      <c r="E9" s="82"/>
      <c r="F9" s="136"/>
      <c r="G9" s="82">
        <f>42.5</f>
        <v>42.5</v>
      </c>
      <c r="I9" s="132"/>
      <c r="K9" s="5"/>
      <c r="M9" s="5"/>
      <c r="O9" s="5"/>
      <c r="Q9" s="5"/>
      <c r="S9" s="5"/>
      <c r="U9" s="5"/>
      <c r="W9" s="5"/>
      <c r="Y9" s="5"/>
    </row>
    <row r="10" spans="1:25" x14ac:dyDescent="0.25">
      <c r="A10" s="82"/>
      <c r="B10" s="82"/>
      <c r="C10" s="82"/>
      <c r="D10" s="82"/>
      <c r="E10" s="82"/>
      <c r="F10" s="136"/>
      <c r="G10" s="82"/>
      <c r="I10" s="132"/>
      <c r="K10" s="5"/>
      <c r="M10" s="5"/>
      <c r="O10" s="5"/>
      <c r="Q10" s="5"/>
      <c r="S10" s="5"/>
      <c r="U10" s="5"/>
      <c r="W10" s="5"/>
      <c r="Y10" s="5"/>
    </row>
    <row r="11" spans="1:25" x14ac:dyDescent="0.25">
      <c r="A11" s="82"/>
      <c r="B11" s="82">
        <f>19.8+31.87+15.35</f>
        <v>67.02</v>
      </c>
      <c r="C11" s="82"/>
      <c r="D11" s="82"/>
      <c r="E11" s="82"/>
      <c r="F11" s="136"/>
      <c r="G11" s="82"/>
      <c r="I11" s="132"/>
      <c r="K11" s="5"/>
      <c r="M11" s="5"/>
      <c r="O11" s="5"/>
      <c r="Q11" s="5"/>
      <c r="S11" s="5"/>
      <c r="U11" s="5"/>
      <c r="W11" s="5"/>
      <c r="Y11" s="5"/>
    </row>
    <row r="12" spans="1:25" x14ac:dyDescent="0.25">
      <c r="A12" s="82"/>
      <c r="B12" s="82"/>
      <c r="C12" s="82"/>
      <c r="D12" s="82"/>
      <c r="E12" s="82"/>
      <c r="F12" s="136"/>
      <c r="G12" s="82"/>
      <c r="I12" s="132"/>
      <c r="K12" s="5"/>
      <c r="M12" s="5"/>
      <c r="O12" s="5"/>
      <c r="Q12" s="5"/>
      <c r="S12" s="5"/>
      <c r="U12" s="5"/>
      <c r="W12" s="5"/>
      <c r="Y12" s="5"/>
    </row>
    <row r="13" spans="1:25" x14ac:dyDescent="0.25">
      <c r="A13" s="82">
        <f>16.18</f>
        <v>16.18</v>
      </c>
      <c r="B13" s="82"/>
      <c r="C13" s="82"/>
      <c r="D13" s="82"/>
      <c r="E13" s="82"/>
      <c r="F13" s="136"/>
      <c r="G13" s="82"/>
      <c r="I13" s="132"/>
      <c r="K13" s="5"/>
      <c r="M13" s="5"/>
      <c r="O13" s="5"/>
      <c r="Q13" s="5"/>
      <c r="S13" s="5"/>
      <c r="U13" s="5"/>
      <c r="W13" s="5"/>
      <c r="Y13" s="5"/>
    </row>
    <row r="14" spans="1:25" x14ac:dyDescent="0.25">
      <c r="A14" s="82">
        <f>20.84</f>
        <v>20.84</v>
      </c>
      <c r="B14" s="82"/>
      <c r="C14" s="82"/>
      <c r="D14" s="82"/>
      <c r="E14" s="82"/>
      <c r="F14" s="136"/>
      <c r="G14" s="82"/>
      <c r="I14" s="132"/>
      <c r="K14" s="5"/>
      <c r="M14" s="5"/>
      <c r="O14" s="5"/>
      <c r="Q14" s="5"/>
      <c r="S14" s="5"/>
      <c r="U14" s="5"/>
      <c r="W14" s="5"/>
      <c r="Y14" s="5"/>
    </row>
    <row r="15" spans="1:25" x14ac:dyDescent="0.25">
      <c r="A15" s="82"/>
      <c r="B15" s="82">
        <f>16.5</f>
        <v>16.5</v>
      </c>
      <c r="C15" s="82"/>
      <c r="D15" s="82"/>
      <c r="E15" s="82"/>
      <c r="F15" s="136"/>
      <c r="G15" s="82"/>
      <c r="I15" s="132"/>
      <c r="K15" s="5"/>
      <c r="M15" s="5"/>
      <c r="O15" s="5"/>
      <c r="Q15" s="5"/>
      <c r="S15" s="5"/>
      <c r="U15" s="5"/>
      <c r="W15" s="5"/>
      <c r="Y15" s="5"/>
    </row>
    <row r="16" spans="1:25" x14ac:dyDescent="0.25">
      <c r="A16" s="82"/>
      <c r="B16" s="82"/>
      <c r="C16" s="82"/>
      <c r="D16" s="82"/>
      <c r="E16" s="82"/>
      <c r="F16" s="136"/>
      <c r="G16" s="82"/>
      <c r="I16" s="132"/>
      <c r="K16" s="5"/>
      <c r="M16" s="5"/>
      <c r="O16" s="5"/>
      <c r="Q16" s="5"/>
      <c r="S16" s="5"/>
      <c r="U16" s="5"/>
      <c r="W16" s="5"/>
      <c r="Y16" s="5"/>
    </row>
    <row r="17" spans="1:25" x14ac:dyDescent="0.25">
      <c r="A17" s="82"/>
      <c r="B17" s="82"/>
      <c r="C17" s="82"/>
      <c r="D17" s="82"/>
      <c r="E17" s="82"/>
      <c r="F17" s="136"/>
      <c r="G17" s="82"/>
      <c r="I17" s="132"/>
      <c r="K17" s="5"/>
      <c r="M17" s="5"/>
      <c r="O17" s="5"/>
      <c r="Q17" s="5"/>
      <c r="S17" s="5"/>
      <c r="U17" s="5"/>
      <c r="W17" s="5"/>
      <c r="Y17" s="5"/>
    </row>
    <row r="18" spans="1:25" x14ac:dyDescent="0.25">
      <c r="A18" s="82"/>
      <c r="B18" s="82"/>
      <c r="C18" s="82"/>
      <c r="D18" s="82"/>
      <c r="E18" s="82"/>
      <c r="F18" s="136"/>
      <c r="G18" s="82"/>
      <c r="I18" s="132"/>
      <c r="K18" s="5"/>
      <c r="M18" s="5"/>
      <c r="O18" s="5"/>
      <c r="Q18" s="5"/>
      <c r="S18" s="5"/>
      <c r="U18" s="5"/>
      <c r="W18" s="5"/>
      <c r="Y18" s="5"/>
    </row>
    <row r="19" spans="1:25" x14ac:dyDescent="0.25">
      <c r="A19" s="82"/>
      <c r="B19" s="82"/>
      <c r="C19" s="82"/>
      <c r="D19" s="82"/>
      <c r="E19" s="82"/>
      <c r="F19" s="136"/>
      <c r="G19" s="82"/>
      <c r="I19" s="132"/>
      <c r="K19" s="5"/>
      <c r="M19" s="5"/>
      <c r="O19" s="5"/>
      <c r="Q19" s="5"/>
      <c r="S19" s="5"/>
      <c r="U19" s="5"/>
      <c r="W19" s="5"/>
      <c r="Y19" s="5"/>
    </row>
    <row r="20" spans="1:25" x14ac:dyDescent="0.25">
      <c r="A20" s="82"/>
      <c r="B20" s="82"/>
      <c r="C20" s="82"/>
      <c r="D20" s="82"/>
      <c r="E20" s="82"/>
      <c r="F20" s="136"/>
      <c r="G20" s="82"/>
      <c r="I20" s="132"/>
      <c r="K20" s="5"/>
      <c r="M20" s="5"/>
      <c r="O20" s="5"/>
      <c r="Q20" s="5"/>
      <c r="S20" s="5"/>
      <c r="U20" s="5"/>
      <c r="W20" s="5"/>
      <c r="Y20" s="5"/>
    </row>
    <row r="21" spans="1:25" x14ac:dyDescent="0.25">
      <c r="A21" s="82"/>
      <c r="B21" s="82"/>
      <c r="C21" s="82">
        <f>16+6+17.8</f>
        <v>39.799999999999997</v>
      </c>
      <c r="D21" s="82"/>
      <c r="E21" s="82"/>
      <c r="F21" s="136"/>
      <c r="G21" s="82"/>
      <c r="I21" s="132"/>
      <c r="K21" s="5"/>
      <c r="M21" s="5"/>
      <c r="O21" s="5"/>
      <c r="Q21" s="5"/>
      <c r="S21" s="5"/>
      <c r="U21" s="5"/>
      <c r="W21" s="5"/>
      <c r="Y21" s="5"/>
    </row>
    <row r="22" spans="1:25" x14ac:dyDescent="0.25">
      <c r="A22" s="82"/>
      <c r="B22" s="82"/>
      <c r="C22" s="82"/>
      <c r="D22" s="82"/>
      <c r="E22" s="82"/>
      <c r="F22" s="136"/>
      <c r="G22" s="82"/>
      <c r="I22" s="132"/>
      <c r="K22" s="5"/>
      <c r="M22" s="5"/>
      <c r="O22" s="5"/>
      <c r="Q22" s="5"/>
      <c r="S22" s="5"/>
      <c r="U22" s="5"/>
      <c r="W22" s="5"/>
      <c r="Y22" s="5"/>
    </row>
    <row r="23" spans="1:25" x14ac:dyDescent="0.25">
      <c r="A23" s="82"/>
      <c r="B23" s="82"/>
      <c r="C23" s="82"/>
      <c r="D23" s="82"/>
      <c r="E23" s="82"/>
      <c r="F23" s="136"/>
      <c r="G23" s="82"/>
      <c r="I23" s="132">
        <f>28.38</f>
        <v>28.38</v>
      </c>
      <c r="K23" s="5"/>
      <c r="M23" s="5"/>
      <c r="O23" s="5"/>
      <c r="Q23" s="5"/>
      <c r="S23" s="5"/>
      <c r="U23" s="5"/>
      <c r="W23" s="5"/>
      <c r="Y23" s="5"/>
    </row>
    <row r="24" spans="1:25" x14ac:dyDescent="0.25">
      <c r="A24" s="82">
        <f>2.5+46+17.49</f>
        <v>65.989999999999995</v>
      </c>
      <c r="B24" s="82">
        <f>30.8</f>
        <v>30.8</v>
      </c>
      <c r="C24" s="82"/>
      <c r="D24" s="82"/>
      <c r="E24" s="82"/>
      <c r="F24" s="136"/>
      <c r="G24" s="82"/>
      <c r="I24" s="132"/>
      <c r="K24" s="5"/>
      <c r="M24" s="5"/>
      <c r="O24" s="5"/>
      <c r="Q24" s="5"/>
      <c r="S24" s="5"/>
      <c r="U24" s="5"/>
      <c r="W24" s="5"/>
      <c r="Y24" s="5"/>
    </row>
    <row r="25" spans="1:25" x14ac:dyDescent="0.25">
      <c r="A25" s="82"/>
      <c r="B25" s="82"/>
      <c r="C25" s="82"/>
      <c r="D25" s="82"/>
      <c r="E25" s="82"/>
      <c r="F25" s="136"/>
      <c r="G25" s="82"/>
      <c r="I25" s="132"/>
      <c r="K25" s="5"/>
      <c r="M25" s="5"/>
      <c r="O25" s="5"/>
      <c r="Q25" s="5"/>
      <c r="S25" s="5"/>
      <c r="U25" s="5"/>
      <c r="W25" s="5"/>
      <c r="Y25" s="5"/>
    </row>
    <row r="26" spans="1:25" x14ac:dyDescent="0.25">
      <c r="A26" s="82"/>
      <c r="B26" s="82"/>
      <c r="C26" s="82"/>
      <c r="D26" s="82"/>
      <c r="E26" s="82"/>
      <c r="F26" s="136"/>
      <c r="G26" s="82">
        <f>2.9+26</f>
        <v>28.9</v>
      </c>
      <c r="I26" s="132">
        <f>11.59</f>
        <v>11.59</v>
      </c>
      <c r="K26" s="5"/>
      <c r="M26" s="5"/>
      <c r="O26" s="5"/>
      <c r="Q26" s="5"/>
      <c r="S26" s="5"/>
      <c r="U26" s="5"/>
      <c r="W26" s="5"/>
      <c r="Y26" s="5"/>
    </row>
    <row r="27" spans="1:25" x14ac:dyDescent="0.25">
      <c r="A27" s="82"/>
      <c r="B27" s="82"/>
      <c r="C27" s="82"/>
      <c r="D27" s="82"/>
      <c r="E27" s="82"/>
      <c r="F27" s="136"/>
      <c r="G27" s="82"/>
      <c r="I27" s="132"/>
      <c r="K27" s="5"/>
      <c r="M27" s="5"/>
      <c r="O27" s="5"/>
      <c r="Q27" s="5"/>
      <c r="S27" s="5"/>
      <c r="U27" s="5"/>
      <c r="W27" s="5"/>
      <c r="Y27" s="5"/>
    </row>
    <row r="28" spans="1:25" x14ac:dyDescent="0.25">
      <c r="A28" s="82"/>
      <c r="B28" s="82"/>
      <c r="C28" s="82"/>
      <c r="D28" s="82"/>
      <c r="E28" s="82"/>
      <c r="F28" s="136"/>
      <c r="G28" s="82">
        <f>48.36</f>
        <v>48.36</v>
      </c>
      <c r="I28" s="132"/>
      <c r="K28" s="5"/>
      <c r="M28" s="5"/>
      <c r="O28" s="5"/>
      <c r="Q28" s="5"/>
      <c r="S28" s="5"/>
      <c r="U28" s="5"/>
      <c r="W28" s="5"/>
      <c r="Y28" s="5"/>
    </row>
    <row r="29" spans="1:25" x14ac:dyDescent="0.25">
      <c r="A29" s="82"/>
      <c r="B29" s="82"/>
      <c r="C29" s="82"/>
      <c r="D29" s="82"/>
      <c r="E29" s="82"/>
      <c r="F29" s="136"/>
      <c r="G29" s="82">
        <f>6.2+24.07+80</f>
        <v>110.27</v>
      </c>
      <c r="I29" s="132">
        <f>33+1+2.5+2+2.5</f>
        <v>41</v>
      </c>
      <c r="K29" s="5"/>
      <c r="M29" s="5"/>
      <c r="O29" s="5"/>
      <c r="Q29" s="5"/>
      <c r="S29" s="5"/>
      <c r="U29" s="5"/>
      <c r="W29" s="5"/>
      <c r="Y29" s="5"/>
    </row>
    <row r="30" spans="1:25" x14ac:dyDescent="0.25">
      <c r="A30" s="82"/>
      <c r="B30" s="82"/>
      <c r="C30" s="82"/>
      <c r="D30" s="82"/>
      <c r="E30" s="82"/>
      <c r="F30" s="136"/>
      <c r="G30" s="82"/>
      <c r="I30" s="132">
        <f>30+16</f>
        <v>46</v>
      </c>
      <c r="K30" s="5"/>
      <c r="M30" s="5"/>
      <c r="O30" s="5"/>
      <c r="Q30" s="5"/>
      <c r="S30" s="5"/>
      <c r="U30" s="5"/>
      <c r="W30" s="5"/>
      <c r="Y30" s="5"/>
    </row>
    <row r="31" spans="1:25" x14ac:dyDescent="0.25">
      <c r="A31" s="82"/>
      <c r="B31" s="82"/>
      <c r="C31" s="82"/>
      <c r="D31" s="82"/>
      <c r="E31" s="82"/>
      <c r="F31" s="136"/>
      <c r="G31" s="82"/>
      <c r="I31" s="132"/>
      <c r="K31" s="5"/>
      <c r="M31" s="5"/>
      <c r="O31" s="5"/>
      <c r="Q31" s="5"/>
      <c r="S31" s="5"/>
      <c r="U31" s="5"/>
      <c r="W31" s="5"/>
      <c r="Y31" s="5"/>
    </row>
    <row r="32" spans="1:25" ht="15.75" thickBot="1" x14ac:dyDescent="0.3">
      <c r="A32" s="137"/>
      <c r="B32" s="82"/>
      <c r="C32" s="82"/>
      <c r="D32" s="82"/>
      <c r="E32" s="82"/>
      <c r="F32" s="136"/>
      <c r="G32" s="82"/>
      <c r="I32" s="132"/>
      <c r="K32" s="5"/>
      <c r="M32" s="5"/>
      <c r="O32" s="5"/>
      <c r="Q32" s="5"/>
      <c r="S32" s="5"/>
      <c r="U32" s="5"/>
      <c r="W32" s="5"/>
      <c r="Y32" s="5"/>
    </row>
    <row r="33" spans="1:25" ht="15.75" thickBot="1" x14ac:dyDescent="0.3">
      <c r="A33" s="138">
        <f>SUM(A2:A32)</f>
        <v>138.16</v>
      </c>
      <c r="B33" s="138">
        <f t="shared" ref="B33:D33" si="0">SUM(B2:B32)</f>
        <v>221.2</v>
      </c>
      <c r="C33" s="138">
        <f t="shared" si="0"/>
        <v>173.93</v>
      </c>
      <c r="D33" s="138">
        <f t="shared" si="0"/>
        <v>0</v>
      </c>
      <c r="E33" s="139">
        <f t="shared" ref="E33" si="1">SUM(E2:E32)</f>
        <v>0</v>
      </c>
      <c r="F33" s="136"/>
      <c r="G33" s="83">
        <f t="shared" ref="G33:Y33" si="2">SUM(G2:G32)</f>
        <v>256.21999999999997</v>
      </c>
      <c r="I33" s="133">
        <f t="shared" si="2"/>
        <v>188.97</v>
      </c>
      <c r="K33" s="56">
        <f t="shared" si="2"/>
        <v>0</v>
      </c>
      <c r="M33" s="56">
        <f t="shared" si="2"/>
        <v>0</v>
      </c>
      <c r="O33" s="56">
        <f t="shared" si="2"/>
        <v>0</v>
      </c>
      <c r="Q33" s="56">
        <f t="shared" si="2"/>
        <v>0</v>
      </c>
      <c r="S33" s="56">
        <f t="shared" si="2"/>
        <v>0</v>
      </c>
      <c r="U33" s="56">
        <f t="shared" si="2"/>
        <v>0</v>
      </c>
      <c r="W33" s="56">
        <f t="shared" si="2"/>
        <v>0</v>
      </c>
      <c r="Y33" s="56">
        <f t="shared" si="2"/>
        <v>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3"/>
  <sheetViews>
    <sheetView workbookViewId="0">
      <selection activeCell="I3" sqref="I3"/>
    </sheetView>
  </sheetViews>
  <sheetFormatPr defaultRowHeight="15" x14ac:dyDescent="0.25"/>
  <cols>
    <col min="1" max="5" width="9.140625" style="84"/>
    <col min="6" max="6" width="9.140625" style="136"/>
    <col min="7" max="8" width="9.140625" style="84"/>
    <col min="9" max="9" width="9.140625" style="134"/>
  </cols>
  <sheetData>
    <row r="1" spans="1:25" x14ac:dyDescent="0.25">
      <c r="A1" s="84" t="s">
        <v>56</v>
      </c>
      <c r="B1" s="84" t="s">
        <v>57</v>
      </c>
      <c r="C1" s="84" t="s">
        <v>58</v>
      </c>
      <c r="D1" s="84" t="s">
        <v>59</v>
      </c>
      <c r="E1" s="135" t="s">
        <v>80</v>
      </c>
      <c r="G1" s="81" t="s">
        <v>81</v>
      </c>
      <c r="I1" s="131" t="s">
        <v>87</v>
      </c>
      <c r="K1" s="55" t="s">
        <v>88</v>
      </c>
      <c r="M1" s="55" t="s">
        <v>89</v>
      </c>
      <c r="O1" s="55" t="s">
        <v>56</v>
      </c>
      <c r="Q1" s="55" t="s">
        <v>57</v>
      </c>
      <c r="S1" s="55" t="s">
        <v>58</v>
      </c>
      <c r="U1" s="55" t="s">
        <v>59</v>
      </c>
      <c r="W1" s="55" t="s">
        <v>90</v>
      </c>
      <c r="Y1" s="55" t="s">
        <v>91</v>
      </c>
    </row>
    <row r="2" spans="1:25" x14ac:dyDescent="0.25">
      <c r="A2" s="82">
        <f>1.9+12.4+8.99</f>
        <v>23.29</v>
      </c>
      <c r="B2" s="82">
        <f>35.21+5.3+9.44</f>
        <v>49.949999999999996</v>
      </c>
      <c r="C2" s="82"/>
      <c r="D2" s="82"/>
      <c r="E2" s="82">
        <f>10.67+10.12</f>
        <v>20.79</v>
      </c>
      <c r="G2" s="82">
        <f>63.49+6.2</f>
        <v>69.69</v>
      </c>
      <c r="I2" s="132">
        <f>27.91</f>
        <v>27.91</v>
      </c>
      <c r="K2" s="5"/>
      <c r="M2" s="5"/>
      <c r="O2" s="5"/>
      <c r="Q2" s="5"/>
      <c r="S2" s="5"/>
      <c r="U2" s="5"/>
      <c r="W2" s="5"/>
      <c r="Y2" s="5"/>
    </row>
    <row r="3" spans="1:25" x14ac:dyDescent="0.25">
      <c r="A3" s="82">
        <f>8.25</f>
        <v>8.25</v>
      </c>
      <c r="B3" s="82">
        <f>8.48+29.04+19.06</f>
        <v>56.58</v>
      </c>
      <c r="C3" s="82"/>
      <c r="D3" s="82"/>
      <c r="E3" s="82">
        <f>40.75</f>
        <v>40.75</v>
      </c>
      <c r="G3" s="82">
        <f>3.65+7.8+3.14+13+12.1+9.44+14.99</f>
        <v>64.11999999999999</v>
      </c>
      <c r="I3" s="132"/>
      <c r="K3" s="5"/>
      <c r="M3" s="5"/>
      <c r="O3" s="5"/>
      <c r="Q3" s="5"/>
      <c r="S3" s="5"/>
      <c r="U3" s="5"/>
      <c r="W3" s="5"/>
      <c r="Y3" s="5"/>
    </row>
    <row r="4" spans="1:25" x14ac:dyDescent="0.25">
      <c r="A4" s="82">
        <f>44.65</f>
        <v>44.65</v>
      </c>
      <c r="B4" s="82">
        <f>34.14+1.42</f>
        <v>35.56</v>
      </c>
      <c r="C4" s="82">
        <f>5.35+63.07</f>
        <v>68.42</v>
      </c>
      <c r="D4" s="82"/>
      <c r="E4" s="82">
        <f>23.16+14.58</f>
        <v>37.74</v>
      </c>
      <c r="G4" s="82">
        <f>4.41+1.82+4+13.95</f>
        <v>24.18</v>
      </c>
      <c r="I4" s="132"/>
      <c r="K4" s="5"/>
      <c r="M4" s="5"/>
      <c r="O4" s="5"/>
      <c r="Q4" s="5"/>
      <c r="S4" s="5"/>
      <c r="U4" s="5"/>
      <c r="W4" s="5"/>
      <c r="Y4" s="5"/>
    </row>
    <row r="5" spans="1:25" x14ac:dyDescent="0.25">
      <c r="A5" s="82">
        <f>5.3+45.27</f>
        <v>50.57</v>
      </c>
      <c r="B5" s="82">
        <f>57.98+12.6</f>
        <v>70.58</v>
      </c>
      <c r="C5" s="82">
        <f>24.46</f>
        <v>24.46</v>
      </c>
      <c r="D5" s="82"/>
      <c r="E5" s="82">
        <f>75.62</f>
        <v>75.62</v>
      </c>
      <c r="G5" s="82">
        <f>1.9+43.29</f>
        <v>45.19</v>
      </c>
      <c r="I5" s="132"/>
      <c r="K5" s="5"/>
      <c r="M5" s="5"/>
      <c r="O5" s="5"/>
      <c r="Q5" s="5"/>
      <c r="S5" s="5"/>
      <c r="U5" s="5"/>
      <c r="W5" s="5"/>
      <c r="Y5" s="5"/>
    </row>
    <row r="6" spans="1:25" x14ac:dyDescent="0.25">
      <c r="A6" s="82"/>
      <c r="B6" s="82">
        <f>66.1+4.66</f>
        <v>70.759999999999991</v>
      </c>
      <c r="C6" s="82">
        <f>6.91+6.57</f>
        <v>13.48</v>
      </c>
      <c r="D6" s="82"/>
      <c r="E6" s="82">
        <f>9.6</f>
        <v>9.6</v>
      </c>
      <c r="G6" s="82">
        <f>55.63</f>
        <v>55.63</v>
      </c>
      <c r="I6" s="132"/>
      <c r="K6" s="5"/>
      <c r="M6" s="5"/>
      <c r="O6" s="5"/>
      <c r="Q6" s="5"/>
      <c r="S6" s="5"/>
      <c r="U6" s="5"/>
      <c r="W6" s="5"/>
      <c r="Y6" s="5"/>
    </row>
    <row r="7" spans="1:25" x14ac:dyDescent="0.25">
      <c r="A7" s="82">
        <v>1.7</v>
      </c>
      <c r="B7" s="82">
        <f>27.66</f>
        <v>27.66</v>
      </c>
      <c r="C7" s="82"/>
      <c r="D7" s="82"/>
      <c r="E7" s="82">
        <f>7.05+1.87+35.15+19.36</f>
        <v>63.43</v>
      </c>
      <c r="G7" s="82">
        <f>6.2+23.21</f>
        <v>29.41</v>
      </c>
      <c r="I7" s="132"/>
      <c r="K7" s="5"/>
      <c r="M7" s="5"/>
      <c r="O7" s="5"/>
      <c r="Q7" s="5"/>
      <c r="S7" s="5"/>
      <c r="U7" s="5"/>
      <c r="W7" s="5"/>
      <c r="Y7" s="5"/>
    </row>
    <row r="8" spans="1:25" x14ac:dyDescent="0.25">
      <c r="A8" s="82"/>
      <c r="B8" s="82">
        <f>5.3</f>
        <v>5.3</v>
      </c>
      <c r="C8" s="82"/>
      <c r="D8" s="82"/>
      <c r="E8" s="82">
        <f>33.26</f>
        <v>33.26</v>
      </c>
      <c r="G8" s="82"/>
      <c r="I8" s="132"/>
      <c r="K8" s="5"/>
      <c r="M8" s="5"/>
      <c r="O8" s="5"/>
      <c r="Q8" s="5"/>
      <c r="S8" s="5"/>
      <c r="U8" s="5"/>
      <c r="W8" s="5"/>
      <c r="Y8" s="5"/>
    </row>
    <row r="9" spans="1:25" x14ac:dyDescent="0.25">
      <c r="A9" s="82">
        <f>5.3+9.02</f>
        <v>14.32</v>
      </c>
      <c r="B9" s="82">
        <f>29.32</f>
        <v>29.32</v>
      </c>
      <c r="C9" s="82"/>
      <c r="D9" s="82"/>
      <c r="E9" s="82">
        <f>8+6.2+38.98</f>
        <v>53.179999999999993</v>
      </c>
      <c r="G9" s="82">
        <f>7.89+15.62+2.86+6.1</f>
        <v>32.47</v>
      </c>
      <c r="I9" s="132"/>
      <c r="K9" s="5"/>
      <c r="M9" s="5"/>
      <c r="O9" s="5"/>
      <c r="Q9" s="5"/>
      <c r="S9" s="5"/>
      <c r="U9" s="5"/>
      <c r="W9" s="5"/>
      <c r="Y9" s="5"/>
    </row>
    <row r="10" spans="1:25" x14ac:dyDescent="0.25">
      <c r="A10" s="82">
        <f>10.6+0.58</f>
        <v>11.18</v>
      </c>
      <c r="B10" s="82">
        <f>28.84+32.09</f>
        <v>60.930000000000007</v>
      </c>
      <c r="C10" s="82"/>
      <c r="D10" s="82"/>
      <c r="E10" s="82">
        <f>28.75+60.96</f>
        <v>89.710000000000008</v>
      </c>
      <c r="G10" s="82">
        <f>25.91</f>
        <v>25.91</v>
      </c>
      <c r="I10" s="132"/>
      <c r="K10" s="5"/>
      <c r="M10" s="5"/>
      <c r="O10" s="5"/>
      <c r="Q10" s="5"/>
      <c r="S10" s="5"/>
      <c r="U10" s="5"/>
      <c r="W10" s="5"/>
      <c r="Y10" s="5"/>
    </row>
    <row r="11" spans="1:25" x14ac:dyDescent="0.25">
      <c r="A11" s="82">
        <f>1+5.71</f>
        <v>6.71</v>
      </c>
      <c r="B11" s="82"/>
      <c r="C11" s="82"/>
      <c r="D11" s="82"/>
      <c r="E11" s="82">
        <f>30</f>
        <v>30</v>
      </c>
      <c r="G11" s="82"/>
      <c r="I11" s="132"/>
      <c r="K11" s="5"/>
      <c r="M11" s="5"/>
      <c r="O11" s="5"/>
      <c r="Q11" s="5"/>
      <c r="S11" s="5"/>
      <c r="U11" s="5"/>
      <c r="W11" s="5"/>
      <c r="Y11" s="5"/>
    </row>
    <row r="12" spans="1:25" x14ac:dyDescent="0.25">
      <c r="A12" s="82">
        <f>22.67+2.93+1.74+3.81</f>
        <v>31.15</v>
      </c>
      <c r="B12" s="82">
        <f>39.23</f>
        <v>39.229999999999997</v>
      </c>
      <c r="C12" s="82"/>
      <c r="D12" s="82"/>
      <c r="E12" s="82"/>
      <c r="G12" s="82">
        <f>46.47</f>
        <v>46.47</v>
      </c>
      <c r="I12" s="132"/>
      <c r="K12" s="5"/>
      <c r="M12" s="5"/>
      <c r="O12" s="5"/>
      <c r="Q12" s="5"/>
      <c r="S12" s="5"/>
      <c r="U12" s="5"/>
      <c r="W12" s="5"/>
      <c r="Y12" s="5"/>
    </row>
    <row r="13" spans="1:25" x14ac:dyDescent="0.25">
      <c r="A13" s="82">
        <f>2.7+0.3+4.67+0.44</f>
        <v>8.11</v>
      </c>
      <c r="B13" s="82">
        <f>3.2</f>
        <v>3.2</v>
      </c>
      <c r="C13" s="82"/>
      <c r="D13" s="82"/>
      <c r="E13" s="82"/>
      <c r="G13" s="82">
        <f>16.32+2.65</f>
        <v>18.97</v>
      </c>
      <c r="I13" s="132"/>
      <c r="K13" s="5"/>
      <c r="M13" s="5"/>
      <c r="O13" s="5"/>
      <c r="Q13" s="5"/>
      <c r="S13" s="5"/>
      <c r="U13" s="5"/>
      <c r="W13" s="5"/>
      <c r="Y13" s="5"/>
    </row>
    <row r="14" spans="1:25" x14ac:dyDescent="0.25">
      <c r="A14" s="82">
        <f>10.6</f>
        <v>10.6</v>
      </c>
      <c r="B14" s="82">
        <f>1.4</f>
        <v>1.4</v>
      </c>
      <c r="C14" s="82"/>
      <c r="D14" s="82"/>
      <c r="E14" s="82">
        <f>63</f>
        <v>63</v>
      </c>
      <c r="G14" s="82">
        <f>54.69</f>
        <v>54.69</v>
      </c>
      <c r="I14" s="132"/>
      <c r="K14" s="5"/>
      <c r="M14" s="5"/>
      <c r="O14" s="5"/>
      <c r="Q14" s="5"/>
      <c r="S14" s="5"/>
      <c r="U14" s="5"/>
      <c r="W14" s="5"/>
      <c r="Y14" s="5"/>
    </row>
    <row r="15" spans="1:25" x14ac:dyDescent="0.25">
      <c r="A15" s="82">
        <f>7.39</f>
        <v>7.39</v>
      </c>
      <c r="B15" s="82">
        <f>5.3</f>
        <v>5.3</v>
      </c>
      <c r="C15" s="82"/>
      <c r="D15" s="82"/>
      <c r="E15" s="82"/>
      <c r="G15" s="82">
        <f>8.5+27.98+0.72</f>
        <v>37.200000000000003</v>
      </c>
      <c r="I15" s="132"/>
      <c r="K15" s="5"/>
      <c r="M15" s="5"/>
      <c r="O15" s="5"/>
      <c r="Q15" s="5"/>
      <c r="S15" s="5"/>
      <c r="U15" s="5"/>
      <c r="W15" s="5"/>
      <c r="Y15" s="5"/>
    </row>
    <row r="16" spans="1:25" x14ac:dyDescent="0.25">
      <c r="A16" s="82">
        <f>13.69+11.2</f>
        <v>24.89</v>
      </c>
      <c r="B16" s="82">
        <f>28.18</f>
        <v>28.18</v>
      </c>
      <c r="C16" s="82"/>
      <c r="D16" s="82"/>
      <c r="E16" s="82">
        <f>39.86</f>
        <v>39.86</v>
      </c>
      <c r="G16" s="82">
        <f>86.89</f>
        <v>86.89</v>
      </c>
      <c r="I16" s="132"/>
      <c r="K16" s="5"/>
      <c r="M16" s="5"/>
      <c r="O16" s="5"/>
      <c r="Q16" s="5"/>
      <c r="S16" s="5"/>
      <c r="U16" s="5"/>
      <c r="W16" s="5"/>
      <c r="Y16" s="5"/>
    </row>
    <row r="17" spans="1:25" x14ac:dyDescent="0.25">
      <c r="A17" s="82">
        <f>53.52</f>
        <v>53.52</v>
      </c>
      <c r="B17" s="82">
        <f>2.75</f>
        <v>2.75</v>
      </c>
      <c r="C17" s="82"/>
      <c r="D17" s="82"/>
      <c r="E17" s="82"/>
      <c r="G17" s="82">
        <f>6.2+12.7+30.6</f>
        <v>49.5</v>
      </c>
      <c r="I17" s="132"/>
      <c r="K17" s="5"/>
      <c r="M17" s="5"/>
      <c r="O17" s="5"/>
      <c r="Q17" s="5"/>
      <c r="S17" s="5"/>
      <c r="U17" s="5"/>
      <c r="W17" s="5"/>
      <c r="Y17" s="5"/>
    </row>
    <row r="18" spans="1:25" x14ac:dyDescent="0.25">
      <c r="A18" s="82">
        <f>44.91+5.3</f>
        <v>50.209999999999994</v>
      </c>
      <c r="B18" s="82">
        <f>33.7</f>
        <v>33.700000000000003</v>
      </c>
      <c r="C18" s="82"/>
      <c r="D18" s="82"/>
      <c r="E18" s="82">
        <f>113.75+6.2</f>
        <v>119.95</v>
      </c>
      <c r="G18" s="82"/>
      <c r="I18" s="132"/>
      <c r="K18" s="5"/>
      <c r="M18" s="5"/>
      <c r="O18" s="5"/>
      <c r="Q18" s="5"/>
      <c r="S18" s="5"/>
      <c r="U18" s="5"/>
      <c r="W18" s="5"/>
      <c r="Y18" s="5"/>
    </row>
    <row r="19" spans="1:25" x14ac:dyDescent="0.25">
      <c r="A19" s="82">
        <f>7.73</f>
        <v>7.73</v>
      </c>
      <c r="B19" s="82"/>
      <c r="C19" s="82">
        <f>4.6+96.71+3.99</f>
        <v>105.29999999999998</v>
      </c>
      <c r="D19" s="82"/>
      <c r="E19" s="82">
        <f>37.94+37.71+10.5</f>
        <v>86.15</v>
      </c>
      <c r="G19" s="82">
        <f>32.86</f>
        <v>32.86</v>
      </c>
      <c r="I19" s="132"/>
      <c r="K19" s="5"/>
      <c r="M19" s="5"/>
      <c r="O19" s="5"/>
      <c r="Q19" s="5"/>
      <c r="S19" s="5"/>
      <c r="U19" s="5"/>
      <c r="W19" s="5"/>
      <c r="Y19" s="5"/>
    </row>
    <row r="20" spans="1:25" x14ac:dyDescent="0.25">
      <c r="A20" s="82">
        <f>44.42</f>
        <v>44.42</v>
      </c>
      <c r="B20" s="82"/>
      <c r="C20" s="82">
        <f>40.29+8.2+2.8+13.28+18</f>
        <v>82.57</v>
      </c>
      <c r="D20" s="82"/>
      <c r="E20" s="82">
        <f>3.17+55.37+32.42</f>
        <v>90.960000000000008</v>
      </c>
      <c r="G20" s="82"/>
      <c r="I20" s="132"/>
      <c r="K20" s="5"/>
      <c r="M20" s="5"/>
      <c r="O20" s="5"/>
      <c r="Q20" s="5"/>
      <c r="S20" s="5"/>
      <c r="U20" s="5"/>
      <c r="W20" s="5"/>
      <c r="Y20" s="5"/>
    </row>
    <row r="21" spans="1:25" x14ac:dyDescent="0.25">
      <c r="A21" s="82"/>
      <c r="B21" s="82">
        <f>5.8+42.15</f>
        <v>47.949999999999996</v>
      </c>
      <c r="C21" s="82">
        <f>9.25+2.43+40.49</f>
        <v>52.17</v>
      </c>
      <c r="D21" s="82"/>
      <c r="E21" s="82"/>
      <c r="G21" s="82">
        <f>33.46</f>
        <v>33.46</v>
      </c>
      <c r="I21" s="132">
        <f>31.74+6.2+33.39</f>
        <v>71.33</v>
      </c>
      <c r="K21" s="5"/>
      <c r="M21" s="5"/>
      <c r="O21" s="5"/>
      <c r="Q21" s="5"/>
      <c r="S21" s="5"/>
      <c r="U21" s="5"/>
      <c r="W21" s="5"/>
      <c r="Y21" s="5"/>
    </row>
    <row r="22" spans="1:25" x14ac:dyDescent="0.25">
      <c r="A22" s="82">
        <f>49.74+13.59</f>
        <v>63.33</v>
      </c>
      <c r="B22" s="82">
        <f>5.3+31.06</f>
        <v>36.36</v>
      </c>
      <c r="C22" s="82"/>
      <c r="D22" s="82"/>
      <c r="E22" s="82">
        <v>27.4</v>
      </c>
      <c r="G22" s="82">
        <f>6.2+35.03+14.92</f>
        <v>56.150000000000006</v>
      </c>
      <c r="I22" s="132">
        <f>81.01</f>
        <v>81.010000000000005</v>
      </c>
      <c r="K22" s="5"/>
      <c r="M22" s="5"/>
      <c r="O22" s="5"/>
      <c r="Q22" s="5"/>
      <c r="S22" s="5"/>
      <c r="U22" s="5"/>
      <c r="W22" s="5"/>
      <c r="Y22" s="5"/>
    </row>
    <row r="23" spans="1:25" x14ac:dyDescent="0.25">
      <c r="A23" s="82">
        <f>30.94+32.61+1.42</f>
        <v>64.97</v>
      </c>
      <c r="B23" s="82">
        <f>50</f>
        <v>50</v>
      </c>
      <c r="C23" s="82"/>
      <c r="D23" s="82"/>
      <c r="E23" s="82"/>
      <c r="G23" s="82">
        <f>33.53</f>
        <v>33.53</v>
      </c>
      <c r="I23" s="132">
        <f>30.34+8.84+6.2+39.32+20+21.76</f>
        <v>126.46000000000001</v>
      </c>
      <c r="K23" s="5"/>
      <c r="M23" s="5"/>
      <c r="O23" s="5"/>
      <c r="Q23" s="5"/>
      <c r="S23" s="5"/>
      <c r="U23" s="5"/>
      <c r="W23" s="5"/>
      <c r="Y23" s="5"/>
    </row>
    <row r="24" spans="1:25" x14ac:dyDescent="0.25">
      <c r="A24" s="82"/>
      <c r="B24" s="82">
        <f>5.3+50.66</f>
        <v>55.959999999999994</v>
      </c>
      <c r="C24" s="82">
        <f>2.15+10+43.27</f>
        <v>55.42</v>
      </c>
      <c r="D24" s="82"/>
      <c r="E24" s="82">
        <f>67.92+11.8</f>
        <v>79.72</v>
      </c>
      <c r="G24" s="82">
        <f>28.45</f>
        <v>28.45</v>
      </c>
      <c r="I24" s="132">
        <f>18.79</f>
        <v>18.79</v>
      </c>
      <c r="K24" s="5"/>
      <c r="M24" s="5"/>
      <c r="O24" s="5"/>
      <c r="Q24" s="5"/>
      <c r="S24" s="5"/>
      <c r="U24" s="5"/>
      <c r="W24" s="5"/>
      <c r="Y24" s="5"/>
    </row>
    <row r="25" spans="1:25" x14ac:dyDescent="0.25">
      <c r="A25" s="82"/>
      <c r="B25" s="82">
        <f>8.11+12.15</f>
        <v>20.259999999999998</v>
      </c>
      <c r="C25" s="82"/>
      <c r="D25" s="82"/>
      <c r="E25" s="82"/>
      <c r="G25" s="82">
        <f>66.12</f>
        <v>66.12</v>
      </c>
      <c r="I25" s="132">
        <f>9.67+15.52</f>
        <v>25.189999999999998</v>
      </c>
      <c r="K25" s="5"/>
      <c r="M25" s="5"/>
      <c r="O25" s="5"/>
      <c r="Q25" s="5"/>
      <c r="S25" s="5"/>
      <c r="U25" s="5"/>
      <c r="W25" s="5"/>
      <c r="Y25" s="5"/>
    </row>
    <row r="26" spans="1:25" x14ac:dyDescent="0.25">
      <c r="A26" s="82">
        <f>42.34+4.32+23.95+26.69+4.43</f>
        <v>101.72999999999999</v>
      </c>
      <c r="B26" s="82">
        <f>24.62</f>
        <v>24.62</v>
      </c>
      <c r="C26" s="82">
        <f>26.56</f>
        <v>26.56</v>
      </c>
      <c r="D26" s="82"/>
      <c r="E26" s="82">
        <f>5.9</f>
        <v>5.9</v>
      </c>
      <c r="G26" s="82">
        <f>56.77</f>
        <v>56.77</v>
      </c>
      <c r="I26" s="132">
        <f>6.2+17.21</f>
        <v>23.41</v>
      </c>
      <c r="K26" s="5"/>
      <c r="M26" s="5"/>
      <c r="O26" s="5"/>
      <c r="Q26" s="5"/>
      <c r="S26" s="5"/>
      <c r="U26" s="5"/>
      <c r="W26" s="5"/>
      <c r="Y26" s="5"/>
    </row>
    <row r="27" spans="1:25" x14ac:dyDescent="0.25">
      <c r="A27" s="82">
        <f>5.3</f>
        <v>5.3</v>
      </c>
      <c r="B27" s="82">
        <f>5.3+15</f>
        <v>20.3</v>
      </c>
      <c r="C27" s="82">
        <f>11.98</f>
        <v>11.98</v>
      </c>
      <c r="D27" s="82"/>
      <c r="E27" s="82">
        <f>11.76+5.9+33.84</f>
        <v>51.5</v>
      </c>
      <c r="G27" s="82">
        <f>10.5+18.5+10.76+4.4</f>
        <v>44.16</v>
      </c>
      <c r="I27" s="132">
        <f>6.2</f>
        <v>6.2</v>
      </c>
      <c r="K27" s="5"/>
      <c r="M27" s="5"/>
      <c r="O27" s="5"/>
      <c r="Q27" s="5"/>
      <c r="S27" s="5"/>
      <c r="U27" s="5"/>
      <c r="W27" s="5"/>
      <c r="Y27" s="5"/>
    </row>
    <row r="28" spans="1:25" x14ac:dyDescent="0.25">
      <c r="A28" s="82">
        <f>24.25</f>
        <v>24.25</v>
      </c>
      <c r="B28" s="82">
        <f>58.65</f>
        <v>58.65</v>
      </c>
      <c r="C28" s="82">
        <f>1.35+60</f>
        <v>61.35</v>
      </c>
      <c r="D28" s="82"/>
      <c r="E28" s="82">
        <f>2+11.8</f>
        <v>13.8</v>
      </c>
      <c r="G28" s="82">
        <f>6.2+11.39</f>
        <v>17.59</v>
      </c>
      <c r="I28" s="132">
        <f>28.82</f>
        <v>28.82</v>
      </c>
      <c r="K28" s="5"/>
      <c r="M28" s="5"/>
      <c r="O28" s="5"/>
      <c r="Q28" s="5"/>
      <c r="S28" s="5"/>
      <c r="U28" s="5"/>
      <c r="W28" s="5"/>
      <c r="Y28" s="5"/>
    </row>
    <row r="29" spans="1:25" x14ac:dyDescent="0.25">
      <c r="A29" s="82">
        <f>6.62</f>
        <v>6.62</v>
      </c>
      <c r="B29" s="82">
        <f>5.3+44.97</f>
        <v>50.269999999999996</v>
      </c>
      <c r="C29" s="82"/>
      <c r="D29" s="82"/>
      <c r="E29" s="82">
        <f>54.86+8+17.83</f>
        <v>80.69</v>
      </c>
      <c r="G29" s="82">
        <f>3.73+4.95</f>
        <v>8.68</v>
      </c>
      <c r="I29" s="132">
        <f>66.86</f>
        <v>66.86</v>
      </c>
      <c r="K29" s="5"/>
      <c r="M29" s="5"/>
      <c r="O29" s="5"/>
      <c r="Q29" s="5"/>
      <c r="S29" s="5"/>
      <c r="U29" s="5"/>
      <c r="W29" s="5"/>
      <c r="Y29" s="5"/>
    </row>
    <row r="30" spans="1:25" x14ac:dyDescent="0.25">
      <c r="A30" s="82">
        <f>5.3+49.23</f>
        <v>54.529999999999994</v>
      </c>
      <c r="B30" s="82"/>
      <c r="C30" s="82">
        <f>48.06</f>
        <v>48.06</v>
      </c>
      <c r="D30" s="82"/>
      <c r="E30" s="82">
        <v>42.32</v>
      </c>
      <c r="G30" s="82">
        <f>11.04+11.33</f>
        <v>22.369999999999997</v>
      </c>
      <c r="I30" s="132">
        <f>41.22+6.2</f>
        <v>47.42</v>
      </c>
      <c r="K30" s="5"/>
      <c r="M30" s="5"/>
      <c r="O30" s="5"/>
      <c r="Q30" s="5"/>
      <c r="S30" s="5"/>
      <c r="U30" s="5"/>
      <c r="W30" s="5"/>
      <c r="Y30" s="5"/>
    </row>
    <row r="31" spans="1:25" x14ac:dyDescent="0.25">
      <c r="A31" s="82"/>
      <c r="B31" s="82">
        <f>32.42</f>
        <v>32.42</v>
      </c>
      <c r="C31" s="82"/>
      <c r="D31" s="82"/>
      <c r="E31" s="82"/>
      <c r="G31" s="82">
        <f>0.35</f>
        <v>0.35</v>
      </c>
      <c r="I31" s="132">
        <f>115.94+28.78</f>
        <v>144.72</v>
      </c>
      <c r="K31" s="5"/>
      <c r="M31" s="5"/>
      <c r="O31" s="5"/>
      <c r="Q31" s="5"/>
      <c r="S31" s="5"/>
      <c r="U31" s="5"/>
      <c r="W31" s="5"/>
      <c r="Y31" s="5"/>
    </row>
    <row r="32" spans="1:25" ht="15.75" thickBot="1" x14ac:dyDescent="0.3">
      <c r="A32" s="137"/>
      <c r="B32" s="82"/>
      <c r="C32" s="82"/>
      <c r="D32" s="82"/>
      <c r="E32" s="82"/>
      <c r="G32" s="82"/>
      <c r="I32" s="132"/>
      <c r="K32" s="5"/>
      <c r="M32" s="5"/>
      <c r="O32" s="5"/>
      <c r="Q32" s="5"/>
      <c r="S32" s="5"/>
      <c r="U32" s="5"/>
      <c r="W32" s="5"/>
      <c r="Y32" s="5"/>
    </row>
    <row r="33" spans="1:25" ht="15.75" thickBot="1" x14ac:dyDescent="0.3">
      <c r="A33" s="138">
        <f>SUM(A2:A32)</f>
        <v>719.42</v>
      </c>
      <c r="B33" s="138">
        <f t="shared" ref="B33:D33" si="0">SUM(B2:B32)</f>
        <v>917.19</v>
      </c>
      <c r="C33" s="138">
        <f t="shared" si="0"/>
        <v>549.77</v>
      </c>
      <c r="D33" s="138">
        <f t="shared" si="0"/>
        <v>0</v>
      </c>
      <c r="E33" s="139">
        <f t="shared" ref="E33" si="1">SUM(E2:E32)</f>
        <v>1155.3300000000002</v>
      </c>
      <c r="G33" s="83">
        <f t="shared" ref="G33:Y33" si="2">SUM(G2:G32)</f>
        <v>1040.81</v>
      </c>
      <c r="I33" s="133">
        <f t="shared" si="2"/>
        <v>668.12000000000012</v>
      </c>
      <c r="K33" s="56">
        <f t="shared" si="2"/>
        <v>0</v>
      </c>
      <c r="M33" s="56">
        <f t="shared" si="2"/>
        <v>0</v>
      </c>
      <c r="O33" s="56">
        <f t="shared" si="2"/>
        <v>0</v>
      </c>
      <c r="Q33" s="56">
        <f t="shared" si="2"/>
        <v>0</v>
      </c>
      <c r="S33" s="56">
        <f t="shared" si="2"/>
        <v>0</v>
      </c>
      <c r="U33" s="56">
        <f t="shared" si="2"/>
        <v>0</v>
      </c>
      <c r="W33" s="56">
        <f t="shared" si="2"/>
        <v>0</v>
      </c>
      <c r="Y33" s="56">
        <f t="shared" si="2"/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3"/>
  <sheetViews>
    <sheetView workbookViewId="0">
      <selection activeCell="I31" sqref="I31"/>
    </sheetView>
  </sheetViews>
  <sheetFormatPr defaultRowHeight="15" x14ac:dyDescent="0.25"/>
  <cols>
    <col min="1" max="8" width="9.140625" style="84"/>
    <col min="9" max="9" width="9.140625" style="134"/>
  </cols>
  <sheetData>
    <row r="1" spans="1:25" x14ac:dyDescent="0.25">
      <c r="A1" s="84" t="s">
        <v>56</v>
      </c>
      <c r="B1" s="84" t="s">
        <v>57</v>
      </c>
      <c r="C1" s="84" t="s">
        <v>58</v>
      </c>
      <c r="D1" s="84" t="s">
        <v>59</v>
      </c>
      <c r="E1" s="135" t="s">
        <v>80</v>
      </c>
      <c r="F1" s="136"/>
      <c r="G1" s="81" t="s">
        <v>81</v>
      </c>
      <c r="I1" s="131" t="s">
        <v>87</v>
      </c>
      <c r="K1" s="55" t="s">
        <v>88</v>
      </c>
      <c r="M1" s="55" t="s">
        <v>89</v>
      </c>
      <c r="O1" s="55" t="s">
        <v>56</v>
      </c>
      <c r="Q1" s="55" t="s">
        <v>57</v>
      </c>
      <c r="S1" s="55" t="s">
        <v>58</v>
      </c>
      <c r="U1" s="55" t="s">
        <v>59</v>
      </c>
      <c r="W1" s="55" t="s">
        <v>90</v>
      </c>
      <c r="Y1" s="55" t="s">
        <v>91</v>
      </c>
    </row>
    <row r="2" spans="1:25" x14ac:dyDescent="0.25">
      <c r="A2" s="82"/>
      <c r="B2" s="82"/>
      <c r="C2" s="82">
        <f>36.57</f>
        <v>36.57</v>
      </c>
      <c r="D2" s="82"/>
      <c r="E2" s="82"/>
      <c r="F2" s="136"/>
      <c r="G2" s="82"/>
      <c r="I2" s="132"/>
      <c r="K2" s="5"/>
      <c r="M2" s="5"/>
      <c r="O2" s="5"/>
      <c r="Q2" s="5"/>
      <c r="S2" s="5"/>
      <c r="U2" s="5"/>
      <c r="W2" s="5"/>
      <c r="Y2" s="5"/>
    </row>
    <row r="3" spans="1:25" x14ac:dyDescent="0.25">
      <c r="A3" s="82"/>
      <c r="B3" s="82"/>
      <c r="C3" s="82"/>
      <c r="D3" s="82"/>
      <c r="E3" s="82"/>
      <c r="F3" s="136"/>
      <c r="G3" s="82"/>
      <c r="I3" s="132"/>
      <c r="K3" s="5"/>
      <c r="M3" s="5"/>
      <c r="O3" s="5"/>
      <c r="Q3" s="5"/>
      <c r="S3" s="5"/>
      <c r="U3" s="5"/>
      <c r="W3" s="5"/>
      <c r="Y3" s="5"/>
    </row>
    <row r="4" spans="1:25" x14ac:dyDescent="0.25">
      <c r="A4" s="82"/>
      <c r="B4" s="82"/>
      <c r="C4" s="82"/>
      <c r="D4" s="82"/>
      <c r="E4" s="82"/>
      <c r="F4" s="136"/>
      <c r="G4" s="82"/>
      <c r="I4" s="132"/>
      <c r="K4" s="5"/>
      <c r="M4" s="5"/>
      <c r="O4" s="5"/>
      <c r="Q4" s="5"/>
      <c r="S4" s="5"/>
      <c r="U4" s="5"/>
      <c r="W4" s="5"/>
      <c r="Y4" s="5"/>
    </row>
    <row r="5" spans="1:25" x14ac:dyDescent="0.25">
      <c r="A5" s="82"/>
      <c r="B5" s="82"/>
      <c r="C5" s="82"/>
      <c r="D5" s="82"/>
      <c r="E5" s="82"/>
      <c r="F5" s="136"/>
      <c r="G5" s="82"/>
      <c r="I5" s="132"/>
      <c r="K5" s="5"/>
      <c r="M5" s="5"/>
      <c r="O5" s="5"/>
      <c r="Q5" s="5"/>
      <c r="S5" s="5"/>
      <c r="U5" s="5"/>
      <c r="W5" s="5"/>
      <c r="Y5" s="5"/>
    </row>
    <row r="6" spans="1:25" x14ac:dyDescent="0.25">
      <c r="A6" s="82"/>
      <c r="B6" s="82"/>
      <c r="C6" s="82"/>
      <c r="D6" s="82"/>
      <c r="E6" s="82"/>
      <c r="F6" s="136"/>
      <c r="G6" s="82"/>
      <c r="I6" s="132"/>
      <c r="K6" s="5"/>
      <c r="M6" s="5"/>
      <c r="O6" s="5"/>
      <c r="Q6" s="5"/>
      <c r="S6" s="5"/>
      <c r="U6" s="5"/>
      <c r="W6" s="5"/>
      <c r="Y6" s="5"/>
    </row>
    <row r="7" spans="1:25" x14ac:dyDescent="0.25">
      <c r="A7" s="82"/>
      <c r="B7" s="82">
        <f>176.93+0.89+0.2</f>
        <v>178.01999999999998</v>
      </c>
      <c r="C7" s="82"/>
      <c r="D7" s="82"/>
      <c r="E7" s="82"/>
      <c r="F7" s="136"/>
      <c r="G7" s="82"/>
      <c r="I7" s="132"/>
      <c r="K7" s="5"/>
      <c r="M7" s="5"/>
      <c r="O7" s="5"/>
      <c r="Q7" s="5"/>
      <c r="S7" s="5"/>
      <c r="U7" s="5"/>
      <c r="W7" s="5"/>
      <c r="Y7" s="5"/>
    </row>
    <row r="8" spans="1:25" x14ac:dyDescent="0.25">
      <c r="A8" s="82"/>
      <c r="B8" s="82">
        <f>143</f>
        <v>143</v>
      </c>
      <c r="C8" s="82"/>
      <c r="D8" s="82"/>
      <c r="E8" s="82"/>
      <c r="F8" s="136"/>
      <c r="G8" s="82">
        <f>199+192.44</f>
        <v>391.44</v>
      </c>
      <c r="I8" s="132"/>
      <c r="K8" s="5"/>
      <c r="M8" s="5"/>
      <c r="O8" s="5"/>
      <c r="Q8" s="5"/>
      <c r="S8" s="5"/>
      <c r="U8" s="5"/>
      <c r="W8" s="5"/>
      <c r="Y8" s="5"/>
    </row>
    <row r="9" spans="1:25" x14ac:dyDescent="0.25">
      <c r="A9" s="82"/>
      <c r="B9" s="82"/>
      <c r="C9" s="82"/>
      <c r="D9" s="82"/>
      <c r="E9" s="82"/>
      <c r="F9" s="136"/>
      <c r="G9" s="82"/>
      <c r="I9" s="132"/>
      <c r="K9" s="5"/>
      <c r="M9" s="5"/>
      <c r="O9" s="5"/>
      <c r="Q9" s="5"/>
      <c r="S9" s="5"/>
      <c r="U9" s="5"/>
      <c r="W9" s="5"/>
      <c r="Y9" s="5"/>
    </row>
    <row r="10" spans="1:25" x14ac:dyDescent="0.25">
      <c r="A10" s="82"/>
      <c r="B10" s="82"/>
      <c r="C10" s="82"/>
      <c r="D10" s="82"/>
      <c r="E10" s="82"/>
      <c r="F10" s="136"/>
      <c r="G10" s="82"/>
      <c r="I10" s="132"/>
      <c r="K10" s="5"/>
      <c r="M10" s="5"/>
      <c r="O10" s="5"/>
      <c r="Q10" s="5"/>
      <c r="S10" s="5"/>
      <c r="U10" s="5"/>
      <c r="W10" s="5"/>
      <c r="Y10" s="5"/>
    </row>
    <row r="11" spans="1:25" x14ac:dyDescent="0.25">
      <c r="A11" s="82"/>
      <c r="B11" s="82"/>
      <c r="C11" s="82"/>
      <c r="D11" s="82"/>
      <c r="E11" s="82"/>
      <c r="F11" s="136"/>
      <c r="G11" s="82"/>
      <c r="I11" s="132"/>
      <c r="K11" s="5"/>
      <c r="M11" s="5"/>
      <c r="O11" s="5"/>
      <c r="Q11" s="5"/>
      <c r="S11" s="5"/>
      <c r="U11" s="5"/>
      <c r="W11" s="5"/>
      <c r="Y11" s="5"/>
    </row>
    <row r="12" spans="1:25" x14ac:dyDescent="0.25">
      <c r="A12" s="82"/>
      <c r="B12" s="82"/>
      <c r="C12" s="82"/>
      <c r="D12" s="82"/>
      <c r="E12" s="82"/>
      <c r="F12" s="136"/>
      <c r="G12" s="82"/>
      <c r="I12" s="132"/>
      <c r="K12" s="5"/>
      <c r="M12" s="5"/>
      <c r="O12" s="5"/>
      <c r="Q12" s="5"/>
      <c r="S12" s="5"/>
      <c r="U12" s="5"/>
      <c r="W12" s="5"/>
      <c r="Y12" s="5"/>
    </row>
    <row r="13" spans="1:25" x14ac:dyDescent="0.25">
      <c r="A13" s="82"/>
      <c r="B13" s="82"/>
      <c r="C13" s="82"/>
      <c r="D13" s="82"/>
      <c r="E13" s="82"/>
      <c r="F13" s="136"/>
      <c r="G13" s="82"/>
      <c r="I13" s="132"/>
      <c r="K13" s="5"/>
      <c r="M13" s="5"/>
      <c r="O13" s="5"/>
      <c r="Q13" s="5"/>
      <c r="S13" s="5"/>
      <c r="U13" s="5"/>
      <c r="W13" s="5"/>
      <c r="Y13" s="5"/>
    </row>
    <row r="14" spans="1:25" x14ac:dyDescent="0.25">
      <c r="A14" s="82"/>
      <c r="B14" s="82"/>
      <c r="C14" s="82"/>
      <c r="D14" s="82"/>
      <c r="E14" s="82"/>
      <c r="F14" s="136"/>
      <c r="G14" s="82"/>
      <c r="I14" s="132"/>
      <c r="K14" s="5"/>
      <c r="M14" s="5"/>
      <c r="O14" s="5"/>
      <c r="Q14" s="5"/>
      <c r="S14" s="5"/>
      <c r="U14" s="5"/>
      <c r="W14" s="5"/>
      <c r="Y14" s="5"/>
    </row>
    <row r="15" spans="1:25" x14ac:dyDescent="0.25">
      <c r="A15" s="82"/>
      <c r="B15" s="82"/>
      <c r="C15" s="82"/>
      <c r="D15" s="82"/>
      <c r="E15" s="82"/>
      <c r="F15" s="136"/>
      <c r="G15" s="82"/>
      <c r="I15" s="132"/>
      <c r="K15" s="5"/>
      <c r="M15" s="5"/>
      <c r="O15" s="5"/>
      <c r="Q15" s="5"/>
      <c r="S15" s="5"/>
      <c r="U15" s="5"/>
      <c r="W15" s="5"/>
      <c r="Y15" s="5"/>
    </row>
    <row r="16" spans="1:25" x14ac:dyDescent="0.25">
      <c r="A16" s="82"/>
      <c r="B16" s="82"/>
      <c r="C16" s="82"/>
      <c r="D16" s="82"/>
      <c r="E16" s="82"/>
      <c r="F16" s="136"/>
      <c r="G16" s="82">
        <f>42.38</f>
        <v>42.38</v>
      </c>
      <c r="I16" s="132"/>
      <c r="K16" s="5"/>
      <c r="M16" s="5"/>
      <c r="O16" s="5"/>
      <c r="Q16" s="5"/>
      <c r="S16" s="5"/>
      <c r="U16" s="5"/>
      <c r="W16" s="5"/>
      <c r="Y16" s="5"/>
    </row>
    <row r="17" spans="1:25" x14ac:dyDescent="0.25">
      <c r="A17" s="82"/>
      <c r="B17" s="82"/>
      <c r="C17" s="82"/>
      <c r="D17" s="82"/>
      <c r="E17" s="82"/>
      <c r="F17" s="136"/>
      <c r="G17" s="82">
        <f>140+260</f>
        <v>400</v>
      </c>
      <c r="I17" s="132"/>
      <c r="K17" s="5"/>
      <c r="M17" s="5"/>
      <c r="O17" s="5"/>
      <c r="Q17" s="5"/>
      <c r="S17" s="5"/>
      <c r="U17" s="5"/>
      <c r="W17" s="5"/>
      <c r="Y17" s="5"/>
    </row>
    <row r="18" spans="1:25" x14ac:dyDescent="0.25">
      <c r="A18" s="82">
        <f>158</f>
        <v>158</v>
      </c>
      <c r="B18" s="82">
        <v>78.239999999999995</v>
      </c>
      <c r="C18" s="82"/>
      <c r="D18" s="82"/>
      <c r="E18" s="82">
        <f>700</f>
        <v>700</v>
      </c>
      <c r="F18" s="136"/>
      <c r="G18" s="82"/>
      <c r="I18" s="132"/>
      <c r="K18" s="5"/>
      <c r="M18" s="5"/>
      <c r="O18" s="5"/>
      <c r="Q18" s="5"/>
      <c r="S18" s="5"/>
      <c r="U18" s="5"/>
      <c r="W18" s="5"/>
      <c r="Y18" s="5"/>
    </row>
    <row r="19" spans="1:25" x14ac:dyDescent="0.25">
      <c r="A19" s="82"/>
      <c r="B19" s="82"/>
      <c r="C19" s="82"/>
      <c r="D19" s="82"/>
      <c r="E19" s="82"/>
      <c r="F19" s="136"/>
      <c r="G19" s="82"/>
      <c r="I19" s="132"/>
      <c r="K19" s="5"/>
      <c r="M19" s="5"/>
      <c r="O19" s="5"/>
      <c r="Q19" s="5"/>
      <c r="S19" s="5"/>
      <c r="U19" s="5"/>
      <c r="W19" s="5"/>
      <c r="Y19" s="5"/>
    </row>
    <row r="20" spans="1:25" x14ac:dyDescent="0.25">
      <c r="A20" s="82"/>
      <c r="B20" s="82"/>
      <c r="C20" s="82"/>
      <c r="D20" s="82"/>
      <c r="E20" s="82"/>
      <c r="F20" s="136"/>
      <c r="G20" s="82"/>
      <c r="I20" s="132"/>
      <c r="K20" s="5"/>
      <c r="M20" s="5"/>
      <c r="O20" s="5"/>
      <c r="Q20" s="5"/>
      <c r="S20" s="5"/>
      <c r="U20" s="5"/>
      <c r="W20" s="5"/>
      <c r="Y20" s="5"/>
    </row>
    <row r="21" spans="1:25" x14ac:dyDescent="0.25">
      <c r="A21" s="82"/>
      <c r="B21" s="82">
        <v>155.78</v>
      </c>
      <c r="C21" s="82"/>
      <c r="D21" s="82"/>
      <c r="E21" s="82"/>
      <c r="F21" s="136"/>
      <c r="G21" s="82"/>
      <c r="I21" s="132"/>
      <c r="K21" s="5"/>
      <c r="M21" s="5"/>
      <c r="O21" s="5"/>
      <c r="Q21" s="5"/>
      <c r="S21" s="5"/>
      <c r="U21" s="5"/>
      <c r="W21" s="5"/>
      <c r="Y21" s="5"/>
    </row>
    <row r="22" spans="1:25" x14ac:dyDescent="0.25">
      <c r="A22" s="82"/>
      <c r="B22" s="82"/>
      <c r="C22" s="82"/>
      <c r="D22" s="82"/>
      <c r="E22" s="82"/>
      <c r="F22" s="136"/>
      <c r="G22" s="82"/>
      <c r="I22" s="132"/>
      <c r="K22" s="5"/>
      <c r="M22" s="5"/>
      <c r="O22" s="5"/>
      <c r="Q22" s="5"/>
      <c r="S22" s="5"/>
      <c r="U22" s="5"/>
      <c r="W22" s="5"/>
      <c r="Y22" s="5"/>
    </row>
    <row r="23" spans="1:25" x14ac:dyDescent="0.25">
      <c r="A23" s="82"/>
      <c r="B23" s="82"/>
      <c r="C23" s="82"/>
      <c r="D23" s="82"/>
      <c r="E23" s="82"/>
      <c r="F23" s="136"/>
      <c r="G23" s="82"/>
      <c r="I23" s="132"/>
      <c r="K23" s="5"/>
      <c r="M23" s="5"/>
      <c r="O23" s="5"/>
      <c r="Q23" s="5"/>
      <c r="S23" s="5"/>
      <c r="U23" s="5"/>
      <c r="W23" s="5"/>
      <c r="Y23" s="5"/>
    </row>
    <row r="24" spans="1:25" x14ac:dyDescent="0.25">
      <c r="A24" s="82"/>
      <c r="B24" s="82">
        <f>309</f>
        <v>309</v>
      </c>
      <c r="C24" s="82"/>
      <c r="D24" s="82"/>
      <c r="E24" s="82"/>
      <c r="F24" s="136"/>
      <c r="G24" s="82"/>
      <c r="I24" s="132"/>
      <c r="K24" s="5"/>
      <c r="M24" s="5"/>
      <c r="O24" s="5"/>
      <c r="Q24" s="5"/>
      <c r="S24" s="5"/>
      <c r="U24" s="5"/>
      <c r="W24" s="5"/>
      <c r="Y24" s="5"/>
    </row>
    <row r="25" spans="1:25" x14ac:dyDescent="0.25">
      <c r="A25" s="82"/>
      <c r="B25" s="82"/>
      <c r="C25" s="82"/>
      <c r="D25" s="82"/>
      <c r="E25" s="82"/>
      <c r="F25" s="136"/>
      <c r="G25" s="82">
        <v>144.11000000000001</v>
      </c>
      <c r="I25" s="132"/>
      <c r="K25" s="5"/>
      <c r="M25" s="5"/>
      <c r="O25" s="5"/>
      <c r="Q25" s="5"/>
      <c r="S25" s="5"/>
      <c r="U25" s="5"/>
      <c r="W25" s="5"/>
      <c r="Y25" s="5"/>
    </row>
    <row r="26" spans="1:25" x14ac:dyDescent="0.25">
      <c r="A26" s="82"/>
      <c r="B26" s="82"/>
      <c r="C26" s="82"/>
      <c r="D26" s="82"/>
      <c r="E26" s="82"/>
      <c r="F26" s="136"/>
      <c r="G26" s="82"/>
      <c r="I26" s="132"/>
      <c r="K26" s="5"/>
      <c r="M26" s="5"/>
      <c r="O26" s="5"/>
      <c r="Q26" s="5"/>
      <c r="S26" s="5"/>
      <c r="U26" s="5"/>
      <c r="W26" s="5"/>
      <c r="Y26" s="5"/>
    </row>
    <row r="27" spans="1:25" x14ac:dyDescent="0.25">
      <c r="A27" s="82"/>
      <c r="B27" s="82"/>
      <c r="C27" s="82"/>
      <c r="D27" s="82"/>
      <c r="E27" s="82"/>
      <c r="F27" s="136"/>
      <c r="G27" s="82"/>
      <c r="I27" s="132"/>
      <c r="K27" s="5"/>
      <c r="M27" s="5"/>
      <c r="O27" s="5"/>
      <c r="Q27" s="5"/>
      <c r="S27" s="5"/>
      <c r="U27" s="5"/>
      <c r="W27" s="5"/>
      <c r="Y27" s="5"/>
    </row>
    <row r="28" spans="1:25" x14ac:dyDescent="0.25">
      <c r="A28" s="82"/>
      <c r="B28" s="82"/>
      <c r="C28" s="82"/>
      <c r="D28" s="82"/>
      <c r="E28" s="82"/>
      <c r="F28" s="136"/>
      <c r="G28" s="82"/>
      <c r="I28" s="132"/>
      <c r="K28" s="5"/>
      <c r="M28" s="5"/>
      <c r="O28" s="5"/>
      <c r="Q28" s="5"/>
      <c r="S28" s="5"/>
      <c r="U28" s="5"/>
      <c r="W28" s="5"/>
      <c r="Y28" s="5"/>
    </row>
    <row r="29" spans="1:25" x14ac:dyDescent="0.25">
      <c r="A29" s="82"/>
      <c r="B29" s="82"/>
      <c r="C29" s="82"/>
      <c r="D29" s="82"/>
      <c r="E29" s="82"/>
      <c r="F29" s="136"/>
      <c r="G29" s="82"/>
      <c r="I29" s="132"/>
      <c r="K29" s="5"/>
      <c r="M29" s="5"/>
      <c r="O29" s="5"/>
      <c r="Q29" s="5"/>
      <c r="S29" s="5"/>
      <c r="U29" s="5"/>
      <c r="W29" s="5"/>
      <c r="Y29" s="5"/>
    </row>
    <row r="30" spans="1:25" x14ac:dyDescent="0.25">
      <c r="A30" s="82"/>
      <c r="B30" s="82">
        <f>40</f>
        <v>40</v>
      </c>
      <c r="C30" s="82"/>
      <c r="D30" s="82"/>
      <c r="E30" s="82"/>
      <c r="F30" s="136"/>
      <c r="G30" s="82"/>
      <c r="I30" s="132">
        <f>115</f>
        <v>115</v>
      </c>
      <c r="K30" s="5"/>
      <c r="M30" s="5"/>
      <c r="O30" s="5"/>
      <c r="Q30" s="5"/>
      <c r="S30" s="5"/>
      <c r="U30" s="5"/>
      <c r="W30" s="5"/>
      <c r="Y30" s="5"/>
    </row>
    <row r="31" spans="1:25" x14ac:dyDescent="0.25">
      <c r="A31" s="82"/>
      <c r="B31" s="82">
        <f>322.78</f>
        <v>322.77999999999997</v>
      </c>
      <c r="C31" s="82"/>
      <c r="D31" s="82"/>
      <c r="E31" s="82"/>
      <c r="F31" s="136"/>
      <c r="G31" s="82"/>
      <c r="I31" s="132"/>
      <c r="K31" s="5"/>
      <c r="M31" s="5"/>
      <c r="O31" s="5"/>
      <c r="Q31" s="5"/>
      <c r="S31" s="5"/>
      <c r="U31" s="5"/>
      <c r="W31" s="5"/>
      <c r="Y31" s="5"/>
    </row>
    <row r="32" spans="1:25" ht="15.75" thickBot="1" x14ac:dyDescent="0.3">
      <c r="A32" s="137"/>
      <c r="B32" s="82"/>
      <c r="C32" s="82"/>
      <c r="D32" s="82"/>
      <c r="E32" s="82"/>
      <c r="F32" s="136"/>
      <c r="G32" s="82"/>
      <c r="I32" s="132"/>
      <c r="K32" s="5"/>
      <c r="M32" s="5"/>
      <c r="O32" s="5"/>
      <c r="Q32" s="5"/>
      <c r="S32" s="5"/>
      <c r="U32" s="5"/>
      <c r="W32" s="5"/>
      <c r="Y32" s="5"/>
    </row>
    <row r="33" spans="1:25" ht="15.75" thickBot="1" x14ac:dyDescent="0.3">
      <c r="A33" s="138">
        <f>SUM(A2:A32)</f>
        <v>158</v>
      </c>
      <c r="B33" s="138">
        <f t="shared" ref="B33:D33" si="0">SUM(B2:B32)</f>
        <v>1226.82</v>
      </c>
      <c r="C33" s="138">
        <f t="shared" si="0"/>
        <v>36.57</v>
      </c>
      <c r="D33" s="138">
        <f t="shared" si="0"/>
        <v>0</v>
      </c>
      <c r="E33" s="139">
        <f t="shared" ref="E33" si="1">SUM(E2:E32)</f>
        <v>700</v>
      </c>
      <c r="F33" s="136"/>
      <c r="G33" s="83">
        <f t="shared" ref="G33:Y33" si="2">SUM(G2:G32)</f>
        <v>977.93</v>
      </c>
      <c r="I33" s="133">
        <f t="shared" si="2"/>
        <v>115</v>
      </c>
      <c r="K33" s="56">
        <f t="shared" si="2"/>
        <v>0</v>
      </c>
      <c r="M33" s="56">
        <f t="shared" si="2"/>
        <v>0</v>
      </c>
      <c r="O33" s="56">
        <f t="shared" si="2"/>
        <v>0</v>
      </c>
      <c r="Q33" s="56">
        <f t="shared" si="2"/>
        <v>0</v>
      </c>
      <c r="S33" s="56">
        <f t="shared" si="2"/>
        <v>0</v>
      </c>
      <c r="U33" s="56">
        <f t="shared" si="2"/>
        <v>0</v>
      </c>
      <c r="W33" s="56">
        <f t="shared" si="2"/>
        <v>0</v>
      </c>
      <c r="Y33" s="56">
        <f t="shared" si="2"/>
        <v>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3"/>
  <sheetViews>
    <sheetView workbookViewId="0">
      <selection activeCell="I3" sqref="I3"/>
    </sheetView>
  </sheetViews>
  <sheetFormatPr defaultRowHeight="15" x14ac:dyDescent="0.25"/>
  <cols>
    <col min="1" max="8" width="9.140625" style="84"/>
    <col min="9" max="9" width="9.140625" style="134"/>
  </cols>
  <sheetData>
    <row r="1" spans="1:21" x14ac:dyDescent="0.25">
      <c r="A1" s="84" t="s">
        <v>56</v>
      </c>
      <c r="B1" s="84" t="s">
        <v>57</v>
      </c>
      <c r="C1" s="84" t="s">
        <v>58</v>
      </c>
      <c r="D1" s="84" t="s">
        <v>59</v>
      </c>
      <c r="E1" s="135" t="s">
        <v>80</v>
      </c>
      <c r="F1" s="136"/>
      <c r="G1" s="141" t="s">
        <v>81</v>
      </c>
      <c r="H1" s="136"/>
      <c r="I1" s="131" t="s">
        <v>87</v>
      </c>
      <c r="K1" s="58" t="s">
        <v>88</v>
      </c>
      <c r="M1" s="58" t="s">
        <v>89</v>
      </c>
      <c r="O1" s="58" t="s">
        <v>56</v>
      </c>
      <c r="Q1" s="58" t="s">
        <v>57</v>
      </c>
      <c r="S1" s="58" t="s">
        <v>58</v>
      </c>
      <c r="U1" s="58" t="s">
        <v>59</v>
      </c>
    </row>
    <row r="2" spans="1:21" x14ac:dyDescent="0.25">
      <c r="A2" s="82">
        <f>6.75+5.84+0.04+9.98+1.04+2.64+2+13.28+50</f>
        <v>91.57</v>
      </c>
      <c r="B2" s="82"/>
      <c r="C2" s="82"/>
      <c r="D2" s="82"/>
      <c r="E2" s="82"/>
      <c r="F2" s="136"/>
      <c r="G2" s="82">
        <f>60</f>
        <v>60</v>
      </c>
      <c r="H2" s="136"/>
      <c r="I2" s="132">
        <f>64.58</f>
        <v>64.58</v>
      </c>
      <c r="K2" s="5"/>
      <c r="M2" s="5"/>
      <c r="O2" s="5"/>
      <c r="Q2" s="5"/>
      <c r="S2" s="5"/>
      <c r="U2" s="5"/>
    </row>
    <row r="3" spans="1:21" x14ac:dyDescent="0.25">
      <c r="A3" s="82"/>
      <c r="B3" s="82">
        <f>9.77+50.01</f>
        <v>59.78</v>
      </c>
      <c r="C3" s="82"/>
      <c r="D3" s="82"/>
      <c r="E3" s="82">
        <f>50</f>
        <v>50</v>
      </c>
      <c r="F3" s="136"/>
      <c r="G3" s="82">
        <f>50</f>
        <v>50</v>
      </c>
      <c r="H3" s="136"/>
      <c r="I3" s="132"/>
      <c r="K3" s="5"/>
      <c r="M3" s="5"/>
      <c r="O3" s="5"/>
      <c r="Q3" s="5"/>
      <c r="S3" s="5"/>
      <c r="U3" s="5"/>
    </row>
    <row r="4" spans="1:21" x14ac:dyDescent="0.25">
      <c r="A4" s="82"/>
      <c r="B4" s="82"/>
      <c r="C4" s="82">
        <f>17.3+50</f>
        <v>67.3</v>
      </c>
      <c r="D4" s="82"/>
      <c r="E4" s="82"/>
      <c r="F4" s="136"/>
      <c r="G4" s="82">
        <f>5.92</f>
        <v>5.92</v>
      </c>
      <c r="H4" s="136"/>
      <c r="I4" s="132"/>
      <c r="K4" s="5"/>
      <c r="M4" s="5"/>
      <c r="O4" s="5"/>
      <c r="Q4" s="5"/>
      <c r="S4" s="5"/>
      <c r="U4" s="5"/>
    </row>
    <row r="5" spans="1:21" x14ac:dyDescent="0.25">
      <c r="A5" s="82"/>
      <c r="B5" s="82">
        <f>50</f>
        <v>50</v>
      </c>
      <c r="C5" s="82"/>
      <c r="D5" s="82"/>
      <c r="E5" s="82">
        <f>50</f>
        <v>50</v>
      </c>
      <c r="F5" s="136"/>
      <c r="G5" s="82">
        <f>7.05</f>
        <v>7.05</v>
      </c>
      <c r="H5" s="136"/>
      <c r="I5" s="132"/>
      <c r="K5" s="5"/>
      <c r="M5" s="5"/>
      <c r="O5" s="5"/>
      <c r="Q5" s="5"/>
      <c r="S5" s="5"/>
      <c r="U5" s="5"/>
    </row>
    <row r="6" spans="1:21" x14ac:dyDescent="0.25">
      <c r="A6" s="82"/>
      <c r="B6" s="82"/>
      <c r="C6" s="82">
        <f>60</f>
        <v>60</v>
      </c>
      <c r="D6" s="82"/>
      <c r="E6" s="82">
        <f>20</f>
        <v>20</v>
      </c>
      <c r="F6" s="136"/>
      <c r="G6" s="82"/>
      <c r="H6" s="136"/>
      <c r="I6" s="132"/>
      <c r="K6" s="5"/>
      <c r="M6" s="5"/>
      <c r="O6" s="5"/>
      <c r="Q6" s="5"/>
      <c r="S6" s="5"/>
      <c r="U6" s="5"/>
    </row>
    <row r="7" spans="1:21" x14ac:dyDescent="0.25">
      <c r="A7" s="82">
        <f>12.74+5+2.04+6.47+3.68+0.9</f>
        <v>30.83</v>
      </c>
      <c r="B7" s="82">
        <f>6.35</f>
        <v>6.35</v>
      </c>
      <c r="C7" s="82"/>
      <c r="D7" s="82"/>
      <c r="E7" s="82"/>
      <c r="F7" s="136"/>
      <c r="G7" s="82"/>
      <c r="H7" s="136"/>
      <c r="I7" s="132"/>
      <c r="K7" s="5"/>
      <c r="M7" s="5"/>
      <c r="O7" s="5"/>
      <c r="Q7" s="5"/>
      <c r="S7" s="5"/>
      <c r="U7" s="5"/>
    </row>
    <row r="8" spans="1:21" x14ac:dyDescent="0.25">
      <c r="A8" s="82">
        <f>8.43</f>
        <v>8.43</v>
      </c>
      <c r="B8" s="82">
        <f>10+2.75</f>
        <v>12.75</v>
      </c>
      <c r="C8" s="82"/>
      <c r="D8" s="82"/>
      <c r="E8" s="82">
        <f>1.8+5.59</f>
        <v>7.39</v>
      </c>
      <c r="F8" s="136"/>
      <c r="G8" s="82"/>
      <c r="H8" s="136"/>
      <c r="I8" s="132"/>
      <c r="K8" s="5"/>
      <c r="M8" s="5"/>
      <c r="O8" s="5"/>
      <c r="Q8" s="5"/>
      <c r="S8" s="5"/>
      <c r="U8" s="5"/>
    </row>
    <row r="9" spans="1:21" x14ac:dyDescent="0.25">
      <c r="A9" s="82"/>
      <c r="B9" s="82">
        <f>7.9+9.66</f>
        <v>17.560000000000002</v>
      </c>
      <c r="C9" s="82"/>
      <c r="D9" s="82"/>
      <c r="E9" s="82"/>
      <c r="F9" s="136"/>
      <c r="G9" s="82">
        <f>6.28</f>
        <v>6.28</v>
      </c>
      <c r="H9" s="136"/>
      <c r="I9" s="132"/>
      <c r="K9" s="5"/>
      <c r="M9" s="5"/>
      <c r="O9" s="5"/>
      <c r="Q9" s="5"/>
      <c r="S9" s="5"/>
      <c r="U9" s="5"/>
    </row>
    <row r="10" spans="1:21" x14ac:dyDescent="0.25">
      <c r="A10" s="82"/>
      <c r="B10" s="82"/>
      <c r="C10" s="82"/>
      <c r="D10" s="82"/>
      <c r="E10" s="82"/>
      <c r="F10" s="136"/>
      <c r="G10" s="82"/>
      <c r="H10" s="136"/>
      <c r="I10" s="132"/>
      <c r="K10" s="5"/>
      <c r="M10" s="5"/>
      <c r="O10" s="5"/>
      <c r="Q10" s="5"/>
      <c r="S10" s="5"/>
      <c r="U10" s="5"/>
    </row>
    <row r="11" spans="1:21" x14ac:dyDescent="0.25">
      <c r="A11" s="82">
        <f>1.75</f>
        <v>1.75</v>
      </c>
      <c r="B11" s="82">
        <f>8.38</f>
        <v>8.3800000000000008</v>
      </c>
      <c r="C11" s="82"/>
      <c r="D11" s="82"/>
      <c r="E11" s="82">
        <f>0.9</f>
        <v>0.9</v>
      </c>
      <c r="F11" s="136"/>
      <c r="G11" s="82"/>
      <c r="H11" s="136"/>
      <c r="I11" s="132"/>
      <c r="K11" s="5"/>
      <c r="M11" s="5"/>
      <c r="O11" s="5"/>
      <c r="Q11" s="5"/>
      <c r="S11" s="5"/>
      <c r="U11" s="5"/>
    </row>
    <row r="12" spans="1:21" x14ac:dyDescent="0.25">
      <c r="A12" s="82">
        <f>11.06+9.21</f>
        <v>20.270000000000003</v>
      </c>
      <c r="B12" s="82">
        <v>63</v>
      </c>
      <c r="C12" s="82"/>
      <c r="D12" s="82"/>
      <c r="E12" s="82"/>
      <c r="F12" s="136"/>
      <c r="G12" s="82"/>
      <c r="H12" s="136"/>
      <c r="I12" s="132"/>
      <c r="K12" s="5"/>
      <c r="M12" s="5"/>
      <c r="O12" s="5"/>
      <c r="Q12" s="5"/>
      <c r="S12" s="5"/>
      <c r="U12" s="5"/>
    </row>
    <row r="13" spans="1:21" x14ac:dyDescent="0.25">
      <c r="A13" s="82">
        <f>11.8</f>
        <v>11.8</v>
      </c>
      <c r="B13" s="82"/>
      <c r="C13" s="82"/>
      <c r="D13" s="82"/>
      <c r="E13" s="82"/>
      <c r="F13" s="136"/>
      <c r="G13" s="82"/>
      <c r="H13" s="136"/>
      <c r="I13" s="132"/>
      <c r="K13" s="5"/>
      <c r="M13" s="5"/>
      <c r="O13" s="5"/>
      <c r="Q13" s="5"/>
      <c r="S13" s="5"/>
      <c r="U13" s="5"/>
    </row>
    <row r="14" spans="1:21" x14ac:dyDescent="0.25">
      <c r="A14" s="82"/>
      <c r="B14" s="82"/>
      <c r="C14" s="82"/>
      <c r="D14" s="82"/>
      <c r="E14" s="82">
        <f>60</f>
        <v>60</v>
      </c>
      <c r="F14" s="136"/>
      <c r="G14" s="82">
        <f>6.85+0.9</f>
        <v>7.75</v>
      </c>
      <c r="H14" s="136"/>
      <c r="I14" s="132"/>
      <c r="K14" s="5"/>
      <c r="M14" s="5"/>
      <c r="O14" s="5"/>
      <c r="Q14" s="5"/>
      <c r="S14" s="5"/>
      <c r="U14" s="5"/>
    </row>
    <row r="15" spans="1:21" x14ac:dyDescent="0.25">
      <c r="A15" s="82"/>
      <c r="B15" s="82"/>
      <c r="C15" s="82"/>
      <c r="D15" s="82"/>
      <c r="E15" s="82"/>
      <c r="F15" s="136"/>
      <c r="G15" s="82">
        <f>0.9+29.67</f>
        <v>30.57</v>
      </c>
      <c r="H15" s="136"/>
      <c r="I15" s="132"/>
      <c r="K15" s="5"/>
      <c r="M15" s="5"/>
      <c r="O15" s="5"/>
      <c r="Q15" s="5"/>
      <c r="S15" s="5"/>
      <c r="U15" s="5"/>
    </row>
    <row r="16" spans="1:21" x14ac:dyDescent="0.25">
      <c r="A16" s="82">
        <f>8.42</f>
        <v>8.42</v>
      </c>
      <c r="B16" s="82">
        <f>18.7+0.4</f>
        <v>19.099999999999998</v>
      </c>
      <c r="C16" s="82"/>
      <c r="D16" s="82"/>
      <c r="E16" s="82">
        <f>64.58</f>
        <v>64.58</v>
      </c>
      <c r="F16" s="136"/>
      <c r="G16" s="82"/>
      <c r="H16" s="136"/>
      <c r="I16" s="132"/>
      <c r="K16" s="5"/>
      <c r="M16" s="5"/>
      <c r="O16" s="5"/>
      <c r="Q16" s="5"/>
      <c r="S16" s="5"/>
      <c r="U16" s="5"/>
    </row>
    <row r="17" spans="1:21" x14ac:dyDescent="0.25">
      <c r="A17" s="82">
        <f>65+12</f>
        <v>77</v>
      </c>
      <c r="B17" s="82">
        <f>13.25+13.99</f>
        <v>27.240000000000002</v>
      </c>
      <c r="C17" s="82"/>
      <c r="D17" s="82"/>
      <c r="E17" s="82"/>
      <c r="F17" s="136"/>
      <c r="G17" s="82"/>
      <c r="H17" s="136"/>
      <c r="I17" s="132"/>
      <c r="K17" s="5"/>
      <c r="M17" s="5"/>
      <c r="O17" s="5"/>
      <c r="Q17" s="5"/>
      <c r="S17" s="5"/>
      <c r="U17" s="5"/>
    </row>
    <row r="18" spans="1:21" x14ac:dyDescent="0.25">
      <c r="A18" s="82"/>
      <c r="B18" s="82">
        <v>6.79</v>
      </c>
      <c r="C18" s="82"/>
      <c r="D18" s="82"/>
      <c r="E18" s="82"/>
      <c r="F18" s="136"/>
      <c r="G18" s="82"/>
      <c r="H18" s="136"/>
      <c r="I18" s="132"/>
      <c r="K18" s="5"/>
      <c r="M18" s="5"/>
      <c r="O18" s="5"/>
      <c r="Q18" s="5"/>
      <c r="S18" s="5"/>
      <c r="U18" s="5"/>
    </row>
    <row r="19" spans="1:21" x14ac:dyDescent="0.25">
      <c r="A19" s="82"/>
      <c r="B19" s="82">
        <v>60.4</v>
      </c>
      <c r="C19" s="82"/>
      <c r="D19" s="82"/>
      <c r="E19" s="82">
        <f>35.66+4</f>
        <v>39.659999999999997</v>
      </c>
      <c r="F19" s="136"/>
      <c r="G19" s="82"/>
      <c r="H19" s="136"/>
      <c r="I19" s="132"/>
      <c r="K19" s="5"/>
      <c r="M19" s="5"/>
      <c r="O19" s="5"/>
      <c r="Q19" s="5"/>
      <c r="S19" s="5"/>
      <c r="U19" s="5"/>
    </row>
    <row r="20" spans="1:21" x14ac:dyDescent="0.25">
      <c r="A20" s="82">
        <f>10.2+70</f>
        <v>80.2</v>
      </c>
      <c r="B20" s="82"/>
      <c r="C20" s="82">
        <f>18.06+1.83</f>
        <v>19.89</v>
      </c>
      <c r="D20" s="82"/>
      <c r="E20" s="82">
        <v>65.989999999999995</v>
      </c>
      <c r="F20" s="136"/>
      <c r="G20" s="82"/>
      <c r="H20" s="136"/>
      <c r="I20" s="132"/>
      <c r="K20" s="5"/>
      <c r="M20" s="5"/>
      <c r="O20" s="5"/>
      <c r="Q20" s="5"/>
      <c r="S20" s="5"/>
      <c r="U20" s="5"/>
    </row>
    <row r="21" spans="1:21" x14ac:dyDescent="0.25">
      <c r="A21" s="82"/>
      <c r="B21" s="82">
        <f>50.01</f>
        <v>50.01</v>
      </c>
      <c r="C21" s="82"/>
      <c r="D21" s="82"/>
      <c r="E21" s="82">
        <v>11.71</v>
      </c>
      <c r="F21" s="136"/>
      <c r="G21" s="82">
        <f>6.13</f>
        <v>6.13</v>
      </c>
      <c r="H21" s="136"/>
      <c r="I21" s="132"/>
      <c r="K21" s="5"/>
      <c r="M21" s="5"/>
      <c r="O21" s="5"/>
      <c r="Q21" s="5"/>
      <c r="S21" s="5"/>
      <c r="U21" s="5"/>
    </row>
    <row r="22" spans="1:21" x14ac:dyDescent="0.25">
      <c r="A22" s="82">
        <v>50</v>
      </c>
      <c r="B22" s="82">
        <f>8.69</f>
        <v>8.69</v>
      </c>
      <c r="C22" s="82">
        <v>59.19</v>
      </c>
      <c r="D22" s="82"/>
      <c r="E22" s="82">
        <f>15.2+55.91</f>
        <v>71.11</v>
      </c>
      <c r="F22" s="136"/>
      <c r="G22" s="82">
        <f>58.38</f>
        <v>58.38</v>
      </c>
      <c r="H22" s="136"/>
      <c r="I22" s="132">
        <f>61.86</f>
        <v>61.86</v>
      </c>
      <c r="K22" s="5"/>
      <c r="M22" s="5"/>
      <c r="O22" s="5"/>
      <c r="Q22" s="5"/>
      <c r="S22" s="5"/>
      <c r="U22" s="5"/>
    </row>
    <row r="23" spans="1:21" x14ac:dyDescent="0.25">
      <c r="A23" s="82">
        <v>10</v>
      </c>
      <c r="B23" s="82"/>
      <c r="C23" s="82">
        <f>15.77</f>
        <v>15.77</v>
      </c>
      <c r="D23" s="82"/>
      <c r="E23" s="82">
        <f>46.15+57.5</f>
        <v>103.65</v>
      </c>
      <c r="F23" s="136"/>
      <c r="G23" s="82"/>
      <c r="H23" s="136"/>
      <c r="I23" s="132">
        <f>120.15</f>
        <v>120.15</v>
      </c>
      <c r="K23" s="5"/>
      <c r="M23" s="5"/>
      <c r="O23" s="5"/>
      <c r="Q23" s="5"/>
      <c r="S23" s="5"/>
      <c r="U23" s="5"/>
    </row>
    <row r="24" spans="1:21" x14ac:dyDescent="0.25">
      <c r="A24" s="82">
        <f>20.64+2+8.62+1.34+2+0.76+2+2.14+2+8.53</f>
        <v>50.03</v>
      </c>
      <c r="B24" s="82"/>
      <c r="C24" s="82">
        <f>2.57+4.5</f>
        <v>7.07</v>
      </c>
      <c r="D24" s="82"/>
      <c r="E24" s="82"/>
      <c r="F24" s="136"/>
      <c r="G24" s="82"/>
      <c r="H24" s="136"/>
      <c r="I24" s="132">
        <f>2.7</f>
        <v>2.7</v>
      </c>
      <c r="K24" s="5"/>
      <c r="M24" s="5"/>
      <c r="O24" s="5"/>
      <c r="Q24" s="5"/>
      <c r="S24" s="5"/>
      <c r="U24" s="5"/>
    </row>
    <row r="25" spans="1:21" x14ac:dyDescent="0.25">
      <c r="A25" s="82">
        <f>11.89+5+24.87</f>
        <v>41.760000000000005</v>
      </c>
      <c r="B25" s="82"/>
      <c r="C25" s="82"/>
      <c r="D25" s="82"/>
      <c r="E25" s="82"/>
      <c r="F25" s="136"/>
      <c r="G25" s="82"/>
      <c r="H25" s="136"/>
      <c r="I25" s="132"/>
      <c r="K25" s="5"/>
      <c r="M25" s="5"/>
      <c r="O25" s="5"/>
      <c r="Q25" s="5"/>
      <c r="S25" s="5"/>
      <c r="U25" s="5"/>
    </row>
    <row r="26" spans="1:21" x14ac:dyDescent="0.25">
      <c r="A26" s="82">
        <f>25.5+5.62</f>
        <v>31.12</v>
      </c>
      <c r="B26" s="82">
        <f>11.95</f>
        <v>11.95</v>
      </c>
      <c r="C26" s="82">
        <f>60.91</f>
        <v>60.91</v>
      </c>
      <c r="D26" s="82"/>
      <c r="E26" s="82"/>
      <c r="F26" s="136"/>
      <c r="G26" s="82">
        <f>64.58</f>
        <v>64.58</v>
      </c>
      <c r="H26" s="136"/>
      <c r="I26" s="132"/>
      <c r="K26" s="5"/>
      <c r="M26" s="5"/>
      <c r="O26" s="5"/>
      <c r="Q26" s="5"/>
      <c r="S26" s="5"/>
      <c r="U26" s="5"/>
    </row>
    <row r="27" spans="1:21" x14ac:dyDescent="0.25">
      <c r="A27" s="82">
        <f>2+7.04+16.48+10.44+10.48+5.87+0.92+2+9.45+1.43</f>
        <v>66.11</v>
      </c>
      <c r="B27" s="82"/>
      <c r="C27" s="82"/>
      <c r="D27" s="82"/>
      <c r="E27" s="82">
        <f>2+11.42+2+5.29</f>
        <v>20.71</v>
      </c>
      <c r="F27" s="136"/>
      <c r="G27" s="82">
        <f>41.28+6.2</f>
        <v>47.480000000000004</v>
      </c>
      <c r="H27" s="136"/>
      <c r="I27" s="132"/>
      <c r="K27" s="5"/>
      <c r="M27" s="5"/>
      <c r="O27" s="5"/>
      <c r="Q27" s="5"/>
      <c r="S27" s="5"/>
      <c r="U27" s="5"/>
    </row>
    <row r="28" spans="1:21" x14ac:dyDescent="0.25">
      <c r="A28" s="82">
        <f>9.09+9.42+2+11.18+5.3</f>
        <v>36.989999999999995</v>
      </c>
      <c r="B28" s="82">
        <f>65.67</f>
        <v>65.67</v>
      </c>
      <c r="C28" s="82">
        <f>60</f>
        <v>60</v>
      </c>
      <c r="D28" s="82"/>
      <c r="E28" s="82">
        <f>50</f>
        <v>50</v>
      </c>
      <c r="F28" s="136"/>
      <c r="G28" s="82"/>
      <c r="H28" s="136"/>
      <c r="I28" s="132">
        <f>56.45</f>
        <v>56.45</v>
      </c>
      <c r="K28" s="5"/>
      <c r="M28" s="5"/>
      <c r="O28" s="5"/>
      <c r="Q28" s="5"/>
      <c r="S28" s="5"/>
      <c r="U28" s="5"/>
    </row>
    <row r="29" spans="1:21" x14ac:dyDescent="0.25">
      <c r="A29" s="82">
        <f>10+1.18+12.03</f>
        <v>23.21</v>
      </c>
      <c r="B29" s="82"/>
      <c r="C29" s="82"/>
      <c r="D29" s="82"/>
      <c r="E29" s="82"/>
      <c r="F29" s="136"/>
      <c r="G29" s="82">
        <f>4.87+60+1+9</f>
        <v>74.87</v>
      </c>
      <c r="H29" s="136"/>
      <c r="I29" s="132">
        <f>11.99+10+8.89+10+3.83</f>
        <v>44.71</v>
      </c>
      <c r="K29" s="5"/>
      <c r="M29" s="5"/>
      <c r="O29" s="5"/>
      <c r="Q29" s="5"/>
      <c r="S29" s="5"/>
      <c r="U29" s="5"/>
    </row>
    <row r="30" spans="1:21" x14ac:dyDescent="0.25">
      <c r="A30" s="82">
        <f>19.52+9.43+10+10+3.93+10+1.96+10+2.81</f>
        <v>77.650000000000006</v>
      </c>
      <c r="B30" s="82"/>
      <c r="C30" s="82"/>
      <c r="D30" s="82"/>
      <c r="E30" s="82"/>
      <c r="F30" s="136"/>
      <c r="G30" s="82">
        <f>60.39</f>
        <v>60.39</v>
      </c>
      <c r="H30" s="136"/>
      <c r="I30" s="132">
        <f>1.8+6+6.17</f>
        <v>13.969999999999999</v>
      </c>
      <c r="K30" s="5"/>
      <c r="M30" s="5"/>
      <c r="O30" s="5"/>
      <c r="Q30" s="5"/>
      <c r="S30" s="5"/>
      <c r="U30" s="5"/>
    </row>
    <row r="31" spans="1:21" x14ac:dyDescent="0.25">
      <c r="A31" s="82"/>
      <c r="B31" s="82">
        <v>57.49</v>
      </c>
      <c r="C31" s="82"/>
      <c r="D31" s="82"/>
      <c r="E31" s="82"/>
      <c r="F31" s="136"/>
      <c r="G31" s="82">
        <f>53.03</f>
        <v>53.03</v>
      </c>
      <c r="H31" s="136"/>
      <c r="I31" s="132"/>
      <c r="K31" s="5"/>
      <c r="M31" s="5"/>
      <c r="O31" s="5"/>
      <c r="Q31" s="5"/>
      <c r="S31" s="5"/>
      <c r="U31" s="5"/>
    </row>
    <row r="32" spans="1:21" ht="15.75" thickBot="1" x14ac:dyDescent="0.3">
      <c r="A32" s="137"/>
      <c r="B32" s="82"/>
      <c r="C32" s="82"/>
      <c r="D32" s="82"/>
      <c r="E32" s="82"/>
      <c r="F32" s="136"/>
      <c r="G32" s="82"/>
      <c r="H32" s="136"/>
      <c r="I32" s="132"/>
      <c r="K32" s="5"/>
      <c r="M32" s="5"/>
      <c r="O32" s="5"/>
      <c r="Q32" s="5"/>
      <c r="S32" s="5"/>
      <c r="U32" s="5"/>
    </row>
    <row r="33" spans="1:21" ht="15.75" thickBot="1" x14ac:dyDescent="0.3">
      <c r="A33" s="138">
        <f>SUM(A2:A32)</f>
        <v>717.14</v>
      </c>
      <c r="B33" s="138">
        <f t="shared" ref="B33:E33" si="0">SUM(B2:B32)</f>
        <v>525.16</v>
      </c>
      <c r="C33" s="138">
        <f t="shared" si="0"/>
        <v>350.13</v>
      </c>
      <c r="D33" s="138">
        <f t="shared" si="0"/>
        <v>0</v>
      </c>
      <c r="E33" s="139">
        <f t="shared" si="0"/>
        <v>615.70000000000005</v>
      </c>
      <c r="F33" s="136"/>
      <c r="G33" s="142">
        <f t="shared" ref="G33:I33" si="1">SUM(G2:G32)</f>
        <v>532.42999999999995</v>
      </c>
      <c r="H33" s="136"/>
      <c r="I33" s="133">
        <f t="shared" si="1"/>
        <v>364.41999999999996</v>
      </c>
      <c r="K33" s="56">
        <f t="shared" ref="K33" si="2">SUM(K2:K32)</f>
        <v>0</v>
      </c>
      <c r="M33" s="56">
        <f t="shared" ref="M33" si="3">SUM(M2:M32)</f>
        <v>0</v>
      </c>
      <c r="O33" s="56">
        <f t="shared" ref="O33" si="4">SUM(O2:O32)</f>
        <v>0</v>
      </c>
      <c r="Q33" s="56">
        <f t="shared" ref="Q33" si="5">SUM(Q2:Q32)</f>
        <v>0</v>
      </c>
      <c r="S33" s="56">
        <f t="shared" ref="S33" si="6">SUM(S2:S32)</f>
        <v>0</v>
      </c>
      <c r="U33" s="56">
        <f t="shared" ref="U33" si="7">SUM(U2:U32)</f>
        <v>0</v>
      </c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3"/>
  <sheetViews>
    <sheetView workbookViewId="0">
      <selection activeCell="I31" sqref="I31"/>
    </sheetView>
  </sheetViews>
  <sheetFormatPr defaultRowHeight="15" x14ac:dyDescent="0.25"/>
  <cols>
    <col min="1" max="8" width="9.140625" style="84"/>
    <col min="9" max="9" width="9.140625" style="134"/>
  </cols>
  <sheetData>
    <row r="1" spans="1:25" x14ac:dyDescent="0.25">
      <c r="A1" s="84" t="s">
        <v>56</v>
      </c>
      <c r="B1" s="84" t="s">
        <v>57</v>
      </c>
      <c r="C1" s="84" t="s">
        <v>58</v>
      </c>
      <c r="D1" s="84" t="s">
        <v>59</v>
      </c>
      <c r="E1" s="135" t="s">
        <v>80</v>
      </c>
      <c r="F1" s="136"/>
      <c r="G1" s="81" t="s">
        <v>81</v>
      </c>
      <c r="I1" s="131" t="s">
        <v>87</v>
      </c>
      <c r="K1" s="55" t="s">
        <v>88</v>
      </c>
      <c r="M1" s="55" t="s">
        <v>89</v>
      </c>
      <c r="O1" s="55" t="s">
        <v>56</v>
      </c>
      <c r="Q1" s="55" t="s">
        <v>57</v>
      </c>
      <c r="S1" s="55" t="s">
        <v>58</v>
      </c>
      <c r="U1" s="55" t="s">
        <v>59</v>
      </c>
      <c r="W1" s="55" t="s">
        <v>90</v>
      </c>
      <c r="Y1" s="55" t="s">
        <v>91</v>
      </c>
    </row>
    <row r="2" spans="1:25" x14ac:dyDescent="0.25">
      <c r="A2" s="82">
        <f>7+5+54</f>
        <v>66</v>
      </c>
      <c r="B2" s="82">
        <f>4.84+11.98</f>
        <v>16.82</v>
      </c>
      <c r="C2" s="82"/>
      <c r="D2" s="82"/>
      <c r="E2" s="82">
        <f>15.82+4</f>
        <v>19.82</v>
      </c>
      <c r="F2" s="136"/>
      <c r="G2" s="82">
        <f>39.9</f>
        <v>39.9</v>
      </c>
      <c r="I2" s="132"/>
      <c r="K2" s="5"/>
      <c r="M2" s="5"/>
      <c r="O2" s="5"/>
      <c r="Q2" s="5"/>
      <c r="S2" s="5"/>
      <c r="U2" s="5"/>
      <c r="W2" s="5"/>
      <c r="Y2" s="5"/>
    </row>
    <row r="3" spans="1:25" x14ac:dyDescent="0.25">
      <c r="A3" s="82">
        <f>30.69+17.55</f>
        <v>48.24</v>
      </c>
      <c r="B3" s="82">
        <f>3</f>
        <v>3</v>
      </c>
      <c r="C3" s="82">
        <f>4</f>
        <v>4</v>
      </c>
      <c r="D3" s="82"/>
      <c r="E3" s="82">
        <f>6.2+8</f>
        <v>14.2</v>
      </c>
      <c r="F3" s="136"/>
      <c r="G3" s="82">
        <f>4</f>
        <v>4</v>
      </c>
      <c r="I3" s="132"/>
      <c r="K3" s="5"/>
      <c r="M3" s="5"/>
      <c r="O3" s="5"/>
      <c r="Q3" s="5"/>
      <c r="S3" s="5"/>
      <c r="U3" s="5"/>
      <c r="W3" s="5"/>
      <c r="Y3" s="5"/>
    </row>
    <row r="4" spans="1:25" x14ac:dyDescent="0.25">
      <c r="A4" s="82"/>
      <c r="B4" s="82"/>
      <c r="C4" s="82">
        <f>8</f>
        <v>8</v>
      </c>
      <c r="D4" s="82"/>
      <c r="E4" s="82">
        <f>4</f>
        <v>4</v>
      </c>
      <c r="F4" s="136"/>
      <c r="G4" s="82"/>
      <c r="I4" s="132"/>
      <c r="K4" s="5"/>
      <c r="M4" s="5"/>
      <c r="O4" s="5"/>
      <c r="Q4" s="5"/>
      <c r="S4" s="5"/>
      <c r="U4" s="5"/>
      <c r="W4" s="5"/>
      <c r="Y4" s="5"/>
    </row>
    <row r="5" spans="1:25" x14ac:dyDescent="0.25">
      <c r="A5" s="82">
        <f>3+2.57</f>
        <v>5.57</v>
      </c>
      <c r="B5" s="82">
        <f>10.43+7+5.28</f>
        <v>22.71</v>
      </c>
      <c r="C5" s="82"/>
      <c r="D5" s="82"/>
      <c r="E5" s="82">
        <f>8</f>
        <v>8</v>
      </c>
      <c r="F5" s="136"/>
      <c r="G5" s="82"/>
      <c r="I5" s="132"/>
      <c r="K5" s="5"/>
      <c r="M5" s="5"/>
      <c r="O5" s="5"/>
      <c r="Q5" s="5"/>
      <c r="S5" s="5"/>
      <c r="U5" s="5"/>
      <c r="W5" s="5"/>
      <c r="Y5" s="5"/>
    </row>
    <row r="6" spans="1:25" x14ac:dyDescent="0.25">
      <c r="A6" s="82">
        <f>7</f>
        <v>7</v>
      </c>
      <c r="B6" s="82"/>
      <c r="C6" s="82"/>
      <c r="D6" s="82"/>
      <c r="E6" s="82"/>
      <c r="F6" s="136"/>
      <c r="G6" s="82"/>
      <c r="I6" s="132"/>
      <c r="K6" s="5"/>
      <c r="M6" s="5"/>
      <c r="O6" s="5"/>
      <c r="Q6" s="5"/>
      <c r="S6" s="5"/>
      <c r="U6" s="5"/>
      <c r="W6" s="5"/>
      <c r="Y6" s="5"/>
    </row>
    <row r="7" spans="1:25" x14ac:dyDescent="0.25">
      <c r="A7" s="82"/>
      <c r="B7" s="82"/>
      <c r="C7" s="82"/>
      <c r="D7" s="82"/>
      <c r="E7" s="82"/>
      <c r="F7" s="136"/>
      <c r="G7" s="82">
        <f>31.89</f>
        <v>31.89</v>
      </c>
      <c r="I7" s="132"/>
      <c r="K7" s="5"/>
      <c r="M7" s="5"/>
      <c r="O7" s="5"/>
      <c r="Q7" s="5"/>
      <c r="S7" s="5"/>
      <c r="U7" s="5"/>
      <c r="W7" s="5"/>
      <c r="Y7" s="5"/>
    </row>
    <row r="8" spans="1:25" x14ac:dyDescent="0.25">
      <c r="A8" s="82"/>
      <c r="B8" s="82">
        <f>3</f>
        <v>3</v>
      </c>
      <c r="C8" s="82"/>
      <c r="D8" s="82"/>
      <c r="E8" s="82">
        <f>8.12+4</f>
        <v>12.12</v>
      </c>
      <c r="F8" s="136"/>
      <c r="G8" s="82"/>
      <c r="I8" s="132"/>
      <c r="K8" s="5"/>
      <c r="M8" s="5"/>
      <c r="O8" s="5"/>
      <c r="Q8" s="5"/>
      <c r="S8" s="5"/>
      <c r="U8" s="5"/>
      <c r="W8" s="5"/>
      <c r="Y8" s="5"/>
    </row>
    <row r="9" spans="1:25" x14ac:dyDescent="0.25">
      <c r="A9" s="82">
        <f>45</f>
        <v>45</v>
      </c>
      <c r="B9" s="82">
        <f>4.26</f>
        <v>4.26</v>
      </c>
      <c r="C9" s="82"/>
      <c r="D9" s="82"/>
      <c r="E9" s="82">
        <f>4</f>
        <v>4</v>
      </c>
      <c r="F9" s="136"/>
      <c r="G9" s="82"/>
      <c r="I9" s="132"/>
      <c r="K9" s="5"/>
      <c r="M9" s="5"/>
      <c r="O9" s="5"/>
      <c r="Q9" s="5"/>
      <c r="S9" s="5"/>
      <c r="U9" s="5"/>
      <c r="W9" s="5"/>
      <c r="Y9" s="5"/>
    </row>
    <row r="10" spans="1:25" x14ac:dyDescent="0.25">
      <c r="A10" s="82"/>
      <c r="B10" s="82"/>
      <c r="C10" s="82"/>
      <c r="D10" s="82"/>
      <c r="E10" s="82">
        <f>4</f>
        <v>4</v>
      </c>
      <c r="F10" s="136"/>
      <c r="G10" s="82"/>
      <c r="I10" s="132"/>
      <c r="K10" s="5"/>
      <c r="M10" s="5"/>
      <c r="O10" s="5"/>
      <c r="Q10" s="5"/>
      <c r="S10" s="5"/>
      <c r="U10" s="5"/>
      <c r="W10" s="5"/>
      <c r="Y10" s="5"/>
    </row>
    <row r="11" spans="1:25" x14ac:dyDescent="0.25">
      <c r="A11" s="82"/>
      <c r="B11" s="82">
        <f>3</f>
        <v>3</v>
      </c>
      <c r="C11" s="82"/>
      <c r="D11" s="82"/>
      <c r="E11" s="82">
        <f>10.7+6.99+0.52</f>
        <v>18.209999999999997</v>
      </c>
      <c r="F11" s="136"/>
      <c r="G11" s="82">
        <f>4</f>
        <v>4</v>
      </c>
      <c r="I11" s="132"/>
      <c r="K11" s="5"/>
      <c r="M11" s="5"/>
      <c r="O11" s="5"/>
      <c r="Q11" s="5"/>
      <c r="S11" s="5"/>
      <c r="U11" s="5"/>
      <c r="W11" s="5"/>
      <c r="Y11" s="5"/>
    </row>
    <row r="12" spans="1:25" x14ac:dyDescent="0.25">
      <c r="A12" s="82"/>
      <c r="B12" s="82"/>
      <c r="C12" s="82"/>
      <c r="D12" s="82"/>
      <c r="E12" s="82">
        <f>8+6.62+5.9</f>
        <v>20.520000000000003</v>
      </c>
      <c r="F12" s="136"/>
      <c r="G12" s="82">
        <f>4</f>
        <v>4</v>
      </c>
      <c r="I12" s="132"/>
      <c r="K12" s="5"/>
      <c r="M12" s="5"/>
      <c r="O12" s="5"/>
      <c r="Q12" s="5"/>
      <c r="S12" s="5"/>
      <c r="U12" s="5"/>
      <c r="W12" s="5"/>
      <c r="Y12" s="5"/>
    </row>
    <row r="13" spans="1:25" x14ac:dyDescent="0.25">
      <c r="A13" s="82"/>
      <c r="B13" s="82"/>
      <c r="C13" s="82"/>
      <c r="D13" s="82"/>
      <c r="E13" s="82"/>
      <c r="F13" s="136"/>
      <c r="G13" s="82">
        <f>4</f>
        <v>4</v>
      </c>
      <c r="I13" s="132"/>
      <c r="K13" s="5"/>
      <c r="M13" s="5"/>
      <c r="O13" s="5"/>
      <c r="Q13" s="5"/>
      <c r="S13" s="5"/>
      <c r="U13" s="5"/>
      <c r="W13" s="5"/>
      <c r="Y13" s="5"/>
    </row>
    <row r="14" spans="1:25" x14ac:dyDescent="0.25">
      <c r="A14" s="82"/>
      <c r="B14" s="82"/>
      <c r="C14" s="82"/>
      <c r="D14" s="82"/>
      <c r="E14" s="82"/>
      <c r="F14" s="136"/>
      <c r="G14" s="82">
        <f>4</f>
        <v>4</v>
      </c>
      <c r="I14" s="132"/>
      <c r="K14" s="5"/>
      <c r="M14" s="5"/>
      <c r="O14" s="5"/>
      <c r="Q14" s="5"/>
      <c r="S14" s="5"/>
      <c r="U14" s="5"/>
      <c r="W14" s="5"/>
      <c r="Y14" s="5"/>
    </row>
    <row r="15" spans="1:25" x14ac:dyDescent="0.25">
      <c r="A15" s="82"/>
      <c r="B15" s="82"/>
      <c r="C15" s="82"/>
      <c r="D15" s="82"/>
      <c r="E15" s="82"/>
      <c r="F15" s="136"/>
      <c r="G15" s="82"/>
      <c r="I15" s="132"/>
      <c r="K15" s="5"/>
      <c r="M15" s="5"/>
      <c r="O15" s="5"/>
      <c r="Q15" s="5"/>
      <c r="S15" s="5"/>
      <c r="U15" s="5"/>
      <c r="W15" s="5"/>
      <c r="Y15" s="5"/>
    </row>
    <row r="16" spans="1:25" x14ac:dyDescent="0.25">
      <c r="A16" s="82">
        <f>3</f>
        <v>3</v>
      </c>
      <c r="B16" s="82">
        <v>3</v>
      </c>
      <c r="C16" s="82"/>
      <c r="D16" s="82"/>
      <c r="E16" s="82">
        <f>18.75+3.99+5</f>
        <v>27.740000000000002</v>
      </c>
      <c r="F16" s="136"/>
      <c r="G16" s="82">
        <f>4+3</f>
        <v>7</v>
      </c>
      <c r="I16" s="132"/>
      <c r="K16" s="5"/>
      <c r="M16" s="5"/>
      <c r="O16" s="5"/>
      <c r="Q16" s="5"/>
      <c r="S16" s="5"/>
      <c r="U16" s="5"/>
      <c r="W16" s="5"/>
      <c r="Y16" s="5"/>
    </row>
    <row r="17" spans="1:25" x14ac:dyDescent="0.25">
      <c r="A17" s="82"/>
      <c r="B17" s="82">
        <v>4.5999999999999996</v>
      </c>
      <c r="C17" s="82"/>
      <c r="D17" s="82"/>
      <c r="E17" s="82"/>
      <c r="F17" s="136"/>
      <c r="G17" s="82"/>
      <c r="I17" s="132"/>
      <c r="K17" s="5"/>
      <c r="M17" s="5"/>
      <c r="O17" s="5"/>
      <c r="Q17" s="5"/>
      <c r="S17" s="5"/>
      <c r="U17" s="5"/>
      <c r="W17" s="5"/>
      <c r="Y17" s="5"/>
    </row>
    <row r="18" spans="1:25" x14ac:dyDescent="0.25">
      <c r="A18" s="82">
        <f>21.71</f>
        <v>21.71</v>
      </c>
      <c r="B18" s="82">
        <v>3</v>
      </c>
      <c r="C18" s="82"/>
      <c r="D18" s="82"/>
      <c r="E18" s="82">
        <f>4</f>
        <v>4</v>
      </c>
      <c r="F18" s="136"/>
      <c r="G18" s="82">
        <v>8</v>
      </c>
      <c r="I18" s="132"/>
      <c r="K18" s="5"/>
      <c r="M18" s="5"/>
      <c r="O18" s="5"/>
      <c r="Q18" s="5"/>
      <c r="S18" s="5"/>
      <c r="U18" s="5"/>
      <c r="W18" s="5"/>
      <c r="Y18" s="5"/>
    </row>
    <row r="19" spans="1:25" x14ac:dyDescent="0.25">
      <c r="A19" s="82">
        <f>3+6.8</f>
        <v>9.8000000000000007</v>
      </c>
      <c r="B19" s="82"/>
      <c r="C19" s="82">
        <v>7</v>
      </c>
      <c r="D19" s="82"/>
      <c r="E19" s="82">
        <f>26.23</f>
        <v>26.23</v>
      </c>
      <c r="F19" s="136"/>
      <c r="G19" s="82">
        <f>4.16+7+4+4</f>
        <v>19.16</v>
      </c>
      <c r="I19" s="132"/>
      <c r="K19" s="5"/>
      <c r="M19" s="5"/>
      <c r="O19" s="5"/>
      <c r="Q19" s="5"/>
      <c r="S19" s="5"/>
      <c r="U19" s="5"/>
      <c r="W19" s="5"/>
      <c r="Y19" s="5"/>
    </row>
    <row r="20" spans="1:25" x14ac:dyDescent="0.25">
      <c r="A20" s="82"/>
      <c r="B20" s="82"/>
      <c r="C20" s="82">
        <f>2.7+35+40</f>
        <v>77.7</v>
      </c>
      <c r="D20" s="82"/>
      <c r="E20" s="82"/>
      <c r="F20" s="136"/>
      <c r="G20" s="82">
        <f>1.89+4</f>
        <v>5.89</v>
      </c>
      <c r="I20" s="132"/>
      <c r="K20" s="5"/>
      <c r="M20" s="5"/>
      <c r="O20" s="5"/>
      <c r="Q20" s="5"/>
      <c r="S20" s="5"/>
      <c r="U20" s="5"/>
      <c r="W20" s="5"/>
      <c r="Y20" s="5"/>
    </row>
    <row r="21" spans="1:25" x14ac:dyDescent="0.25">
      <c r="A21" s="82">
        <f>3</f>
        <v>3</v>
      </c>
      <c r="B21" s="82"/>
      <c r="C21" s="82">
        <f>192+13.55</f>
        <v>205.55</v>
      </c>
      <c r="D21" s="82"/>
      <c r="E21" s="82"/>
      <c r="F21" s="136"/>
      <c r="G21" s="82"/>
      <c r="I21" s="132"/>
      <c r="K21" s="5"/>
      <c r="M21" s="5"/>
      <c r="O21" s="5"/>
      <c r="Q21" s="5"/>
      <c r="S21" s="5"/>
      <c r="U21" s="5"/>
      <c r="W21" s="5"/>
      <c r="Y21" s="5"/>
    </row>
    <row r="22" spans="1:25" x14ac:dyDescent="0.25">
      <c r="A22" s="82">
        <v>7</v>
      </c>
      <c r="B22" s="82"/>
      <c r="C22" s="82">
        <f>6.45+3</f>
        <v>9.4499999999999993</v>
      </c>
      <c r="D22" s="82"/>
      <c r="E22" s="82"/>
      <c r="F22" s="136"/>
      <c r="G22" s="82">
        <f>2.15+6.2</f>
        <v>8.35</v>
      </c>
      <c r="I22" s="132">
        <f>8.5</f>
        <v>8.5</v>
      </c>
      <c r="K22" s="5"/>
      <c r="M22" s="5"/>
      <c r="O22" s="5"/>
      <c r="Q22" s="5"/>
      <c r="S22" s="5"/>
      <c r="U22" s="5"/>
      <c r="W22" s="5"/>
      <c r="Y22" s="5"/>
    </row>
    <row r="23" spans="1:25" x14ac:dyDescent="0.25">
      <c r="A23" s="82"/>
      <c r="B23" s="82"/>
      <c r="C23" s="82">
        <f>3</f>
        <v>3</v>
      </c>
      <c r="D23" s="82"/>
      <c r="E23" s="82"/>
      <c r="F23" s="136"/>
      <c r="G23" s="82">
        <f>5</f>
        <v>5</v>
      </c>
      <c r="I23" s="132"/>
      <c r="K23" s="5"/>
      <c r="M23" s="5"/>
      <c r="O23" s="5"/>
      <c r="Q23" s="5"/>
      <c r="S23" s="5"/>
      <c r="U23" s="5"/>
      <c r="W23" s="5"/>
      <c r="Y23" s="5"/>
    </row>
    <row r="24" spans="1:25" x14ac:dyDescent="0.25">
      <c r="A24" s="82">
        <v>3</v>
      </c>
      <c r="B24" s="82"/>
      <c r="C24" s="82">
        <f>3.9+3</f>
        <v>6.9</v>
      </c>
      <c r="D24" s="82"/>
      <c r="E24" s="82"/>
      <c r="F24" s="136"/>
      <c r="G24" s="82">
        <f>4</f>
        <v>4</v>
      </c>
      <c r="I24" s="132"/>
      <c r="K24" s="5"/>
      <c r="M24" s="5"/>
      <c r="O24" s="5"/>
      <c r="Q24" s="5"/>
      <c r="S24" s="5"/>
      <c r="U24" s="5"/>
      <c r="W24" s="5"/>
      <c r="Y24" s="5"/>
    </row>
    <row r="25" spans="1:25" x14ac:dyDescent="0.25">
      <c r="A25" s="82"/>
      <c r="B25" s="82">
        <f>32.37</f>
        <v>32.369999999999997</v>
      </c>
      <c r="C25" s="82"/>
      <c r="D25" s="82"/>
      <c r="E25" s="82"/>
      <c r="F25" s="136"/>
      <c r="G25" s="82">
        <f>8</f>
        <v>8</v>
      </c>
      <c r="I25" s="132">
        <f>4</f>
        <v>4</v>
      </c>
      <c r="K25" s="5"/>
      <c r="M25" s="5"/>
      <c r="O25" s="5"/>
      <c r="Q25" s="5"/>
      <c r="S25" s="5"/>
      <c r="U25" s="5"/>
      <c r="W25" s="5"/>
      <c r="Y25" s="5"/>
    </row>
    <row r="26" spans="1:25" x14ac:dyDescent="0.25">
      <c r="A26" s="82"/>
      <c r="B26" s="82">
        <f>3</f>
        <v>3</v>
      </c>
      <c r="C26" s="82">
        <v>7</v>
      </c>
      <c r="D26" s="82"/>
      <c r="E26" s="82"/>
      <c r="F26" s="136"/>
      <c r="G26" s="82"/>
      <c r="I26" s="132">
        <f>4</f>
        <v>4</v>
      </c>
      <c r="K26" s="5"/>
      <c r="M26" s="5"/>
      <c r="O26" s="5"/>
      <c r="Q26" s="5"/>
      <c r="S26" s="5"/>
      <c r="U26" s="5"/>
      <c r="W26" s="5"/>
      <c r="Y26" s="5"/>
    </row>
    <row r="27" spans="1:25" x14ac:dyDescent="0.25">
      <c r="A27" s="82"/>
      <c r="B27" s="82">
        <f>3</f>
        <v>3</v>
      </c>
      <c r="C27" s="82"/>
      <c r="D27" s="82"/>
      <c r="E27" s="82"/>
      <c r="F27" s="136"/>
      <c r="G27" s="82"/>
      <c r="I27" s="132">
        <f>6</f>
        <v>6</v>
      </c>
      <c r="K27" s="5"/>
      <c r="M27" s="5"/>
      <c r="O27" s="5"/>
      <c r="Q27" s="5"/>
      <c r="S27" s="5"/>
      <c r="U27" s="5"/>
      <c r="W27" s="5"/>
      <c r="Y27" s="5"/>
    </row>
    <row r="28" spans="1:25" x14ac:dyDescent="0.25">
      <c r="A28" s="82">
        <f>3</f>
        <v>3</v>
      </c>
      <c r="B28" s="82">
        <f>3</f>
        <v>3</v>
      </c>
      <c r="C28" s="82"/>
      <c r="D28" s="82"/>
      <c r="E28" s="82"/>
      <c r="F28" s="136"/>
      <c r="G28" s="82">
        <f>8</f>
        <v>8</v>
      </c>
      <c r="I28" s="132">
        <f>6</f>
        <v>6</v>
      </c>
      <c r="K28" s="5"/>
      <c r="M28" s="5"/>
      <c r="O28" s="5"/>
      <c r="Q28" s="5"/>
      <c r="S28" s="5"/>
      <c r="U28" s="5"/>
      <c r="W28" s="5"/>
      <c r="Y28" s="5"/>
    </row>
    <row r="29" spans="1:25" x14ac:dyDescent="0.25">
      <c r="A29" s="82">
        <v>3</v>
      </c>
      <c r="B29" s="82"/>
      <c r="C29" s="82"/>
      <c r="D29" s="82"/>
      <c r="E29" s="82"/>
      <c r="F29" s="136"/>
      <c r="G29" s="82">
        <f>8</f>
        <v>8</v>
      </c>
      <c r="I29" s="132">
        <f>2.5</f>
        <v>2.5</v>
      </c>
      <c r="K29" s="5"/>
      <c r="M29" s="5"/>
      <c r="O29" s="5"/>
      <c r="Q29" s="5"/>
      <c r="S29" s="5"/>
      <c r="U29" s="5"/>
      <c r="W29" s="5"/>
      <c r="Y29" s="5"/>
    </row>
    <row r="30" spans="1:25" x14ac:dyDescent="0.25">
      <c r="A30" s="82">
        <v>7</v>
      </c>
      <c r="B30" s="82"/>
      <c r="C30" s="82">
        <f>2</f>
        <v>2</v>
      </c>
      <c r="D30" s="82"/>
      <c r="E30" s="82"/>
      <c r="F30" s="136"/>
      <c r="G30" s="82">
        <f>8</f>
        <v>8</v>
      </c>
      <c r="I30" s="132">
        <f>8.5+38.37</f>
        <v>46.87</v>
      </c>
      <c r="K30" s="5"/>
      <c r="M30" s="5"/>
      <c r="O30" s="5"/>
      <c r="Q30" s="5"/>
      <c r="S30" s="5"/>
      <c r="U30" s="5"/>
      <c r="W30" s="5"/>
      <c r="Y30" s="5"/>
    </row>
    <row r="31" spans="1:25" x14ac:dyDescent="0.25">
      <c r="A31" s="82"/>
      <c r="B31" s="82"/>
      <c r="C31" s="82"/>
      <c r="D31" s="82"/>
      <c r="E31" s="82"/>
      <c r="F31" s="136"/>
      <c r="G31" s="82"/>
      <c r="I31" s="132"/>
      <c r="K31" s="5"/>
      <c r="M31" s="5"/>
      <c r="O31" s="5"/>
      <c r="Q31" s="5"/>
      <c r="S31" s="5"/>
      <c r="U31" s="5"/>
      <c r="W31" s="5"/>
      <c r="Y31" s="5"/>
    </row>
    <row r="32" spans="1:25" ht="15.75" thickBot="1" x14ac:dyDescent="0.3">
      <c r="A32" s="137"/>
      <c r="B32" s="82"/>
      <c r="C32" s="82"/>
      <c r="D32" s="82"/>
      <c r="E32" s="82"/>
      <c r="F32" s="136"/>
      <c r="G32" s="82"/>
      <c r="I32" s="132"/>
      <c r="K32" s="5"/>
      <c r="M32" s="5"/>
      <c r="O32" s="5"/>
      <c r="Q32" s="5"/>
      <c r="S32" s="5"/>
      <c r="U32" s="5"/>
      <c r="W32" s="5"/>
      <c r="Y32" s="5"/>
    </row>
    <row r="33" spans="1:25" ht="15.75" thickBot="1" x14ac:dyDescent="0.3">
      <c r="A33" s="138">
        <f>SUM(A2:A32)</f>
        <v>232.32000000000002</v>
      </c>
      <c r="B33" s="138">
        <f t="shared" ref="B33:D33" si="0">SUM(B2:B32)</f>
        <v>104.75999999999999</v>
      </c>
      <c r="C33" s="138">
        <f t="shared" si="0"/>
        <v>330.59999999999997</v>
      </c>
      <c r="D33" s="138">
        <f t="shared" si="0"/>
        <v>0</v>
      </c>
      <c r="E33" s="139">
        <f t="shared" ref="E33" si="1">SUM(E2:E32)</f>
        <v>162.83999999999997</v>
      </c>
      <c r="F33" s="136"/>
      <c r="G33" s="83">
        <f t="shared" ref="G33:Y33" si="2">SUM(G2:G32)</f>
        <v>181.18999999999997</v>
      </c>
      <c r="I33" s="133">
        <f t="shared" si="2"/>
        <v>77.87</v>
      </c>
      <c r="K33" s="56">
        <f t="shared" si="2"/>
        <v>0</v>
      </c>
      <c r="M33" s="56">
        <f t="shared" si="2"/>
        <v>0</v>
      </c>
      <c r="O33" s="56">
        <f t="shared" si="2"/>
        <v>0</v>
      </c>
      <c r="Q33" s="56">
        <f t="shared" si="2"/>
        <v>0</v>
      </c>
      <c r="S33" s="56">
        <f t="shared" si="2"/>
        <v>0</v>
      </c>
      <c r="U33" s="56">
        <f t="shared" si="2"/>
        <v>0</v>
      </c>
      <c r="W33" s="56">
        <f t="shared" si="2"/>
        <v>0</v>
      </c>
      <c r="Y33" s="56">
        <f t="shared" si="2"/>
        <v>0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3"/>
  <sheetViews>
    <sheetView workbookViewId="0">
      <selection activeCell="I1" sqref="I1:I1048576"/>
    </sheetView>
  </sheetViews>
  <sheetFormatPr defaultRowHeight="15" x14ac:dyDescent="0.25"/>
  <cols>
    <col min="1" max="8" width="9.140625" style="84"/>
    <col min="9" max="9" width="9.140625" style="134"/>
  </cols>
  <sheetData>
    <row r="1" spans="1:27" x14ac:dyDescent="0.25">
      <c r="A1" s="84" t="s">
        <v>56</v>
      </c>
      <c r="B1" s="84" t="s">
        <v>57</v>
      </c>
      <c r="C1" s="84" t="s">
        <v>58</v>
      </c>
      <c r="D1" s="84" t="s">
        <v>59</v>
      </c>
      <c r="E1" s="135" t="s">
        <v>80</v>
      </c>
      <c r="F1" s="136"/>
      <c r="G1" s="81" t="s">
        <v>81</v>
      </c>
      <c r="I1" s="131" t="s">
        <v>87</v>
      </c>
      <c r="K1" s="55" t="s">
        <v>88</v>
      </c>
      <c r="M1" s="55" t="s">
        <v>89</v>
      </c>
      <c r="O1" s="55" t="s">
        <v>56</v>
      </c>
      <c r="Q1" s="55" t="s">
        <v>57</v>
      </c>
      <c r="S1" s="55" t="s">
        <v>58</v>
      </c>
      <c r="U1" s="55" t="s">
        <v>59</v>
      </c>
      <c r="W1" s="55" t="s">
        <v>90</v>
      </c>
      <c r="Y1" s="55" t="s">
        <v>91</v>
      </c>
      <c r="AA1" s="55" t="s">
        <v>92</v>
      </c>
    </row>
    <row r="2" spans="1:27" x14ac:dyDescent="0.25">
      <c r="A2" s="82"/>
      <c r="B2" s="82"/>
      <c r="C2" s="82"/>
      <c r="D2" s="82"/>
      <c r="E2" s="82"/>
      <c r="F2" s="136"/>
      <c r="G2" s="82"/>
      <c r="I2" s="132"/>
      <c r="K2" s="5"/>
      <c r="M2" s="5"/>
      <c r="O2" s="5"/>
      <c r="Q2" s="5"/>
      <c r="S2" s="5"/>
      <c r="U2" s="5"/>
      <c r="W2" s="5"/>
      <c r="Y2" s="5"/>
      <c r="AA2" s="5"/>
    </row>
    <row r="3" spans="1:27" x14ac:dyDescent="0.25">
      <c r="A3" s="82"/>
      <c r="B3" s="82"/>
      <c r="C3" s="82"/>
      <c r="D3" s="82"/>
      <c r="E3" s="82"/>
      <c r="F3" s="136"/>
      <c r="G3" s="82"/>
      <c r="I3" s="132"/>
      <c r="K3" s="5"/>
      <c r="M3" s="5"/>
      <c r="O3" s="5"/>
      <c r="Q3" s="5"/>
      <c r="S3" s="5"/>
      <c r="U3" s="5"/>
      <c r="W3" s="5"/>
      <c r="Y3" s="5"/>
      <c r="AA3" s="5"/>
    </row>
    <row r="4" spans="1:27" x14ac:dyDescent="0.25">
      <c r="A4" s="82"/>
      <c r="B4" s="82"/>
      <c r="C4" s="82"/>
      <c r="D4" s="82"/>
      <c r="E4" s="82"/>
      <c r="F4" s="136"/>
      <c r="G4" s="82"/>
      <c r="I4" s="132"/>
      <c r="K4" s="5"/>
      <c r="M4" s="5"/>
      <c r="O4" s="5"/>
      <c r="Q4" s="5"/>
      <c r="S4" s="5"/>
      <c r="U4" s="5"/>
      <c r="W4" s="5"/>
      <c r="Y4" s="5"/>
      <c r="AA4" s="5"/>
    </row>
    <row r="5" spans="1:27" x14ac:dyDescent="0.25">
      <c r="A5" s="82"/>
      <c r="B5" s="82"/>
      <c r="C5" s="82"/>
      <c r="D5" s="82"/>
      <c r="E5" s="82"/>
      <c r="F5" s="136"/>
      <c r="G5" s="82"/>
      <c r="I5" s="132"/>
      <c r="K5" s="5"/>
      <c r="M5" s="5"/>
      <c r="O5" s="5"/>
      <c r="Q5" s="5"/>
      <c r="S5" s="5"/>
      <c r="U5" s="5"/>
      <c r="W5" s="5"/>
      <c r="Y5" s="5"/>
      <c r="AA5" s="5"/>
    </row>
    <row r="6" spans="1:27" x14ac:dyDescent="0.25">
      <c r="A6" s="82"/>
      <c r="B6" s="82"/>
      <c r="C6" s="82"/>
      <c r="D6" s="82"/>
      <c r="E6" s="82"/>
      <c r="F6" s="136"/>
      <c r="G6" s="82"/>
      <c r="I6" s="132"/>
      <c r="K6" s="5"/>
      <c r="M6" s="5"/>
      <c r="O6" s="5"/>
      <c r="Q6" s="5"/>
      <c r="S6" s="5"/>
      <c r="U6" s="5"/>
      <c r="W6" s="5"/>
      <c r="Y6" s="5"/>
      <c r="AA6" s="5"/>
    </row>
    <row r="7" spans="1:27" x14ac:dyDescent="0.25">
      <c r="A7" s="82"/>
      <c r="B7" s="82"/>
      <c r="C7" s="82"/>
      <c r="D7" s="82"/>
      <c r="E7" s="82"/>
      <c r="F7" s="136"/>
      <c r="G7" s="82"/>
      <c r="I7" s="132"/>
      <c r="K7" s="5"/>
      <c r="M7" s="5"/>
      <c r="O7" s="5"/>
      <c r="Q7" s="5"/>
      <c r="S7" s="5"/>
      <c r="U7" s="5"/>
      <c r="W7" s="5"/>
      <c r="Y7" s="5"/>
      <c r="AA7" s="5"/>
    </row>
    <row r="8" spans="1:27" x14ac:dyDescent="0.25">
      <c r="A8" s="82"/>
      <c r="B8" s="82"/>
      <c r="C8" s="82"/>
      <c r="D8" s="82"/>
      <c r="E8" s="82"/>
      <c r="F8" s="136"/>
      <c r="G8" s="82"/>
      <c r="I8" s="132"/>
      <c r="K8" s="5"/>
      <c r="M8" s="5"/>
      <c r="O8" s="5"/>
      <c r="Q8" s="5"/>
      <c r="S8" s="5"/>
      <c r="U8" s="5"/>
      <c r="W8" s="5"/>
      <c r="Y8" s="5"/>
      <c r="AA8" s="5"/>
    </row>
    <row r="9" spans="1:27" x14ac:dyDescent="0.25">
      <c r="A9" s="82"/>
      <c r="B9" s="82"/>
      <c r="C9" s="82"/>
      <c r="D9" s="82"/>
      <c r="E9" s="82"/>
      <c r="F9" s="136"/>
      <c r="G9" s="82"/>
      <c r="I9" s="132"/>
      <c r="K9" s="5"/>
      <c r="M9" s="5"/>
      <c r="O9" s="5"/>
      <c r="Q9" s="5"/>
      <c r="S9" s="5"/>
      <c r="U9" s="5"/>
      <c r="W9" s="5"/>
      <c r="Y9" s="5"/>
      <c r="AA9" s="5"/>
    </row>
    <row r="10" spans="1:27" x14ac:dyDescent="0.25">
      <c r="A10" s="82"/>
      <c r="B10" s="82"/>
      <c r="C10" s="82"/>
      <c r="D10" s="82"/>
      <c r="E10" s="82"/>
      <c r="F10" s="136"/>
      <c r="G10" s="82"/>
      <c r="I10" s="132"/>
      <c r="K10" s="5"/>
      <c r="M10" s="5"/>
      <c r="O10" s="5"/>
      <c r="Q10" s="5"/>
      <c r="S10" s="5"/>
      <c r="U10" s="5"/>
      <c r="W10" s="5"/>
      <c r="Y10" s="5"/>
      <c r="AA10" s="5"/>
    </row>
    <row r="11" spans="1:27" x14ac:dyDescent="0.25">
      <c r="A11" s="82"/>
      <c r="B11" s="82"/>
      <c r="C11" s="82"/>
      <c r="D11" s="82"/>
      <c r="E11" s="82"/>
      <c r="F11" s="136"/>
      <c r="G11" s="82"/>
      <c r="I11" s="132"/>
      <c r="K11" s="5"/>
      <c r="M11" s="5"/>
      <c r="O11" s="5"/>
      <c r="Q11" s="5"/>
      <c r="S11" s="5"/>
      <c r="U11" s="5"/>
      <c r="W11" s="5"/>
      <c r="Y11" s="5"/>
      <c r="AA11" s="5"/>
    </row>
    <row r="12" spans="1:27" x14ac:dyDescent="0.25">
      <c r="A12" s="82"/>
      <c r="B12" s="82"/>
      <c r="C12" s="82"/>
      <c r="D12" s="82"/>
      <c r="E12" s="82"/>
      <c r="F12" s="136"/>
      <c r="G12" s="82"/>
      <c r="I12" s="132"/>
      <c r="K12" s="5"/>
      <c r="M12" s="5"/>
      <c r="O12" s="5"/>
      <c r="Q12" s="5"/>
      <c r="S12" s="5"/>
      <c r="U12" s="5"/>
      <c r="W12" s="5"/>
      <c r="Y12" s="5"/>
      <c r="AA12" s="5"/>
    </row>
    <row r="13" spans="1:27" x14ac:dyDescent="0.25">
      <c r="A13" s="82"/>
      <c r="B13" s="82"/>
      <c r="C13" s="82"/>
      <c r="D13" s="82"/>
      <c r="E13" s="82"/>
      <c r="F13" s="136"/>
      <c r="G13" s="82"/>
      <c r="I13" s="132"/>
      <c r="K13" s="5"/>
      <c r="M13" s="5"/>
      <c r="O13" s="5"/>
      <c r="Q13" s="5"/>
      <c r="S13" s="5"/>
      <c r="U13" s="5"/>
      <c r="W13" s="5"/>
      <c r="Y13" s="5"/>
      <c r="AA13" s="5"/>
    </row>
    <row r="14" spans="1:27" x14ac:dyDescent="0.25">
      <c r="A14" s="82"/>
      <c r="B14" s="82"/>
      <c r="C14" s="82"/>
      <c r="D14" s="82"/>
      <c r="E14" s="82"/>
      <c r="F14" s="136"/>
      <c r="G14" s="82"/>
      <c r="I14" s="132"/>
      <c r="K14" s="5"/>
      <c r="M14" s="5"/>
      <c r="O14" s="5"/>
      <c r="Q14" s="5"/>
      <c r="S14" s="5"/>
      <c r="U14" s="5"/>
      <c r="W14" s="5"/>
      <c r="Y14" s="5"/>
      <c r="AA14" s="5"/>
    </row>
    <row r="15" spans="1:27" x14ac:dyDescent="0.25">
      <c r="A15" s="82"/>
      <c r="B15" s="82"/>
      <c r="C15" s="82"/>
      <c r="D15" s="82"/>
      <c r="E15" s="82"/>
      <c r="F15" s="136"/>
      <c r="G15" s="82"/>
      <c r="I15" s="132"/>
      <c r="K15" s="5"/>
      <c r="M15" s="5"/>
      <c r="O15" s="5"/>
      <c r="Q15" s="5"/>
      <c r="S15" s="5"/>
      <c r="U15" s="5"/>
      <c r="W15" s="5"/>
      <c r="Y15" s="5"/>
      <c r="AA15" s="5"/>
    </row>
    <row r="16" spans="1:27" x14ac:dyDescent="0.25">
      <c r="A16" s="82"/>
      <c r="B16" s="82"/>
      <c r="C16" s="82"/>
      <c r="D16" s="82"/>
      <c r="E16" s="82"/>
      <c r="F16" s="136"/>
      <c r="G16" s="82"/>
      <c r="I16" s="132"/>
      <c r="K16" s="5"/>
      <c r="M16" s="5"/>
      <c r="O16" s="5"/>
      <c r="Q16" s="5"/>
      <c r="S16" s="5"/>
      <c r="U16" s="5"/>
      <c r="W16" s="5"/>
      <c r="Y16" s="5"/>
      <c r="AA16" s="5"/>
    </row>
    <row r="17" spans="1:27" x14ac:dyDescent="0.25">
      <c r="A17" s="82"/>
      <c r="B17" s="82"/>
      <c r="C17" s="82"/>
      <c r="D17" s="82"/>
      <c r="E17" s="82"/>
      <c r="F17" s="136"/>
      <c r="G17" s="82"/>
      <c r="I17" s="132"/>
      <c r="K17" s="5"/>
      <c r="M17" s="5"/>
      <c r="O17" s="5"/>
      <c r="Q17" s="5"/>
      <c r="S17" s="5"/>
      <c r="U17" s="5"/>
      <c r="W17" s="5"/>
      <c r="Y17" s="5"/>
      <c r="AA17" s="5"/>
    </row>
    <row r="18" spans="1:27" x14ac:dyDescent="0.25">
      <c r="A18" s="82"/>
      <c r="B18" s="82"/>
      <c r="C18" s="82"/>
      <c r="D18" s="82"/>
      <c r="E18" s="82"/>
      <c r="F18" s="136"/>
      <c r="G18" s="82"/>
      <c r="I18" s="132"/>
      <c r="K18" s="5"/>
      <c r="M18" s="5"/>
      <c r="O18" s="5"/>
      <c r="Q18" s="5"/>
      <c r="S18" s="5"/>
      <c r="U18" s="5"/>
      <c r="W18" s="5"/>
      <c r="Y18" s="5"/>
      <c r="AA18" s="5"/>
    </row>
    <row r="19" spans="1:27" x14ac:dyDescent="0.25">
      <c r="A19" s="82"/>
      <c r="B19" s="82"/>
      <c r="C19" s="82">
        <f>31.3+18</f>
        <v>49.3</v>
      </c>
      <c r="D19" s="82"/>
      <c r="E19" s="82"/>
      <c r="F19" s="136"/>
      <c r="G19" s="82"/>
      <c r="I19" s="132"/>
      <c r="K19" s="5"/>
      <c r="M19" s="5"/>
      <c r="O19" s="5"/>
      <c r="Q19" s="5"/>
      <c r="S19" s="5"/>
      <c r="U19" s="5"/>
      <c r="W19" s="5"/>
      <c r="Y19" s="5"/>
      <c r="AA19" s="5"/>
    </row>
    <row r="20" spans="1:27" x14ac:dyDescent="0.25">
      <c r="A20" s="82"/>
      <c r="B20" s="82"/>
      <c r="C20" s="82">
        <f>10.49</f>
        <v>10.49</v>
      </c>
      <c r="D20" s="82"/>
      <c r="E20" s="82">
        <f>20+5+90+90+16+30+10</f>
        <v>261</v>
      </c>
      <c r="F20" s="136"/>
      <c r="G20" s="82"/>
      <c r="I20" s="132"/>
      <c r="K20" s="5"/>
      <c r="M20" s="5"/>
      <c r="O20" s="5"/>
      <c r="Q20" s="5"/>
      <c r="S20" s="5"/>
      <c r="U20" s="5"/>
      <c r="W20" s="5"/>
      <c r="Y20" s="5"/>
      <c r="AA20" s="5"/>
    </row>
    <row r="21" spans="1:27" x14ac:dyDescent="0.25">
      <c r="A21" s="82"/>
      <c r="B21" s="82"/>
      <c r="C21" s="82"/>
      <c r="D21" s="82"/>
      <c r="E21" s="82"/>
      <c r="F21" s="136"/>
      <c r="G21" s="82"/>
      <c r="I21" s="132"/>
      <c r="K21" s="5"/>
      <c r="M21" s="5"/>
      <c r="O21" s="5"/>
      <c r="Q21" s="5"/>
      <c r="S21" s="5"/>
      <c r="U21" s="5"/>
      <c r="W21" s="5"/>
      <c r="Y21" s="5"/>
      <c r="AA21" s="5"/>
    </row>
    <row r="22" spans="1:27" x14ac:dyDescent="0.25">
      <c r="A22" s="82"/>
      <c r="B22" s="82"/>
      <c r="C22" s="82"/>
      <c r="D22" s="82"/>
      <c r="E22" s="82"/>
      <c r="F22" s="136"/>
      <c r="G22" s="82"/>
      <c r="I22" s="132"/>
      <c r="K22" s="5"/>
      <c r="M22" s="5"/>
      <c r="O22" s="5"/>
      <c r="Q22" s="5"/>
      <c r="S22" s="5"/>
      <c r="U22" s="5"/>
      <c r="W22" s="5"/>
      <c r="Y22" s="5"/>
      <c r="AA22" s="5"/>
    </row>
    <row r="23" spans="1:27" x14ac:dyDescent="0.25">
      <c r="A23" s="82"/>
      <c r="B23" s="82"/>
      <c r="C23" s="82"/>
      <c r="D23" s="82"/>
      <c r="E23" s="82"/>
      <c r="F23" s="136"/>
      <c r="G23" s="82"/>
      <c r="I23" s="132"/>
      <c r="K23" s="5"/>
      <c r="M23" s="5"/>
      <c r="O23" s="5"/>
      <c r="Q23" s="5"/>
      <c r="S23" s="5"/>
      <c r="U23" s="5"/>
      <c r="W23" s="5"/>
      <c r="Y23" s="5"/>
      <c r="AA23" s="5"/>
    </row>
    <row r="24" spans="1:27" x14ac:dyDescent="0.25">
      <c r="A24" s="82"/>
      <c r="B24" s="82"/>
      <c r="C24" s="82"/>
      <c r="D24" s="82"/>
      <c r="E24" s="82"/>
      <c r="F24" s="136"/>
      <c r="G24" s="82"/>
      <c r="I24" s="132"/>
      <c r="K24" s="5"/>
      <c r="M24" s="5"/>
      <c r="O24" s="5"/>
      <c r="Q24" s="5"/>
      <c r="S24" s="5"/>
      <c r="U24" s="5"/>
      <c r="W24" s="5"/>
      <c r="Y24" s="5"/>
      <c r="AA24" s="5"/>
    </row>
    <row r="25" spans="1:27" x14ac:dyDescent="0.25">
      <c r="A25" s="82"/>
      <c r="B25" s="82"/>
      <c r="C25" s="82"/>
      <c r="D25" s="82"/>
      <c r="E25" s="82"/>
      <c r="F25" s="136"/>
      <c r="G25" s="82"/>
      <c r="I25" s="132"/>
      <c r="K25" s="5"/>
      <c r="M25" s="5"/>
      <c r="O25" s="5"/>
      <c r="Q25" s="5"/>
      <c r="S25" s="5"/>
      <c r="U25" s="5"/>
      <c r="W25" s="5"/>
      <c r="Y25" s="5"/>
      <c r="AA25" s="5"/>
    </row>
    <row r="26" spans="1:27" x14ac:dyDescent="0.25">
      <c r="A26" s="82"/>
      <c r="B26" s="82"/>
      <c r="C26" s="82"/>
      <c r="D26" s="82"/>
      <c r="E26" s="82"/>
      <c r="F26" s="136"/>
      <c r="G26" s="82">
        <f>14</f>
        <v>14</v>
      </c>
      <c r="I26" s="132"/>
      <c r="K26" s="5"/>
      <c r="M26" s="5"/>
      <c r="O26" s="5"/>
      <c r="Q26" s="5"/>
      <c r="S26" s="5"/>
      <c r="U26" s="5"/>
      <c r="W26" s="5"/>
      <c r="Y26" s="5"/>
      <c r="AA26" s="5"/>
    </row>
    <row r="27" spans="1:27" x14ac:dyDescent="0.25">
      <c r="A27" s="82"/>
      <c r="B27" s="82"/>
      <c r="C27" s="82"/>
      <c r="D27" s="82"/>
      <c r="E27" s="82"/>
      <c r="F27" s="136"/>
      <c r="G27" s="82">
        <v>85</v>
      </c>
      <c r="I27" s="132"/>
      <c r="K27" s="5"/>
      <c r="M27" s="5"/>
      <c r="O27" s="5"/>
      <c r="Q27" s="5"/>
      <c r="S27" s="5"/>
      <c r="U27" s="5"/>
      <c r="W27" s="5"/>
      <c r="Y27" s="5"/>
      <c r="AA27" s="5"/>
    </row>
    <row r="28" spans="1:27" x14ac:dyDescent="0.25">
      <c r="A28" s="82"/>
      <c r="B28" s="82"/>
      <c r="C28" s="82"/>
      <c r="D28" s="82"/>
      <c r="E28" s="82"/>
      <c r="F28" s="136"/>
      <c r="G28" s="82"/>
      <c r="I28" s="132"/>
      <c r="K28" s="5"/>
      <c r="M28" s="5"/>
      <c r="O28" s="5"/>
      <c r="Q28" s="5"/>
      <c r="S28" s="5"/>
      <c r="U28" s="5"/>
      <c r="W28" s="5"/>
      <c r="Y28" s="5"/>
      <c r="AA28" s="5"/>
    </row>
    <row r="29" spans="1:27" x14ac:dyDescent="0.25">
      <c r="A29" s="82"/>
      <c r="B29" s="82"/>
      <c r="C29" s="82"/>
      <c r="D29" s="82"/>
      <c r="E29" s="82"/>
      <c r="F29" s="136"/>
      <c r="G29" s="82"/>
      <c r="I29" s="132"/>
      <c r="K29" s="5"/>
      <c r="M29" s="5"/>
      <c r="O29" s="5"/>
      <c r="Q29" s="5"/>
      <c r="S29" s="5"/>
      <c r="U29" s="5"/>
      <c r="W29" s="5"/>
      <c r="Y29" s="5"/>
      <c r="AA29" s="5"/>
    </row>
    <row r="30" spans="1:27" x14ac:dyDescent="0.25">
      <c r="A30" s="82"/>
      <c r="B30" s="82"/>
      <c r="C30" s="82"/>
      <c r="D30" s="82"/>
      <c r="E30" s="82"/>
      <c r="F30" s="136"/>
      <c r="G30" s="82"/>
      <c r="I30" s="132"/>
      <c r="K30" s="5"/>
      <c r="M30" s="5"/>
      <c r="O30" s="5"/>
      <c r="Q30" s="5"/>
      <c r="S30" s="5"/>
      <c r="U30" s="5"/>
      <c r="W30" s="5"/>
      <c r="Y30" s="5"/>
      <c r="AA30" s="5"/>
    </row>
    <row r="31" spans="1:27" x14ac:dyDescent="0.25">
      <c r="A31" s="82"/>
      <c r="B31" s="82"/>
      <c r="C31" s="82"/>
      <c r="D31" s="82"/>
      <c r="E31" s="82"/>
      <c r="F31" s="136"/>
      <c r="G31" s="82"/>
      <c r="I31" s="132"/>
      <c r="K31" s="5"/>
      <c r="M31" s="5"/>
      <c r="O31" s="5"/>
      <c r="Q31" s="5"/>
      <c r="S31" s="5"/>
      <c r="U31" s="5"/>
      <c r="W31" s="5"/>
      <c r="Y31" s="5"/>
      <c r="AA31" s="5"/>
    </row>
    <row r="32" spans="1:27" ht="15.75" thickBot="1" x14ac:dyDescent="0.3">
      <c r="A32" s="137"/>
      <c r="B32" s="82"/>
      <c r="C32" s="82"/>
      <c r="D32" s="82"/>
      <c r="E32" s="82"/>
      <c r="F32" s="136"/>
      <c r="G32" s="82"/>
      <c r="I32" s="132"/>
      <c r="K32" s="5"/>
      <c r="M32" s="5"/>
      <c r="O32" s="5"/>
      <c r="Q32" s="5"/>
      <c r="S32" s="5"/>
      <c r="U32" s="5"/>
      <c r="W32" s="5"/>
      <c r="Y32" s="5"/>
      <c r="AA32" s="5"/>
    </row>
    <row r="33" spans="1:27" ht="15.75" thickBot="1" x14ac:dyDescent="0.3">
      <c r="A33" s="138">
        <f>SUM(A2:A32)</f>
        <v>0</v>
      </c>
      <c r="B33" s="138">
        <f t="shared" ref="B33:D33" si="0">SUM(B2:B32)</f>
        <v>0</v>
      </c>
      <c r="C33" s="138">
        <f t="shared" si="0"/>
        <v>59.79</v>
      </c>
      <c r="D33" s="138">
        <f t="shared" si="0"/>
        <v>0</v>
      </c>
      <c r="E33" s="139">
        <f t="shared" ref="E33" si="1">SUM(E2:E32)</f>
        <v>261</v>
      </c>
      <c r="F33" s="136"/>
      <c r="G33" s="83">
        <f t="shared" ref="G33:AA33" si="2">SUM(G2:G32)</f>
        <v>99</v>
      </c>
      <c r="I33" s="133">
        <f t="shared" si="2"/>
        <v>0</v>
      </c>
      <c r="K33" s="56">
        <f t="shared" si="2"/>
        <v>0</v>
      </c>
      <c r="M33" s="56">
        <f t="shared" si="2"/>
        <v>0</v>
      </c>
      <c r="O33" s="56">
        <f t="shared" si="2"/>
        <v>0</v>
      </c>
      <c r="Q33" s="56">
        <f t="shared" si="2"/>
        <v>0</v>
      </c>
      <c r="S33" s="56">
        <f t="shared" si="2"/>
        <v>0</v>
      </c>
      <c r="U33" s="56">
        <f t="shared" si="2"/>
        <v>0</v>
      </c>
      <c r="W33" s="56">
        <f t="shared" si="2"/>
        <v>0</v>
      </c>
      <c r="Y33" s="56">
        <f t="shared" si="2"/>
        <v>0</v>
      </c>
      <c r="AA33" s="56">
        <f t="shared" si="2"/>
        <v>0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3"/>
  <sheetViews>
    <sheetView workbookViewId="0">
      <selection activeCell="H17" sqref="H17"/>
    </sheetView>
  </sheetViews>
  <sheetFormatPr defaultRowHeight="15" x14ac:dyDescent="0.25"/>
  <cols>
    <col min="1" max="7" width="9.140625" style="84"/>
    <col min="8" max="8" width="14" style="84" bestFit="1" customWidth="1"/>
    <col min="9" max="9" width="9.140625" style="134"/>
  </cols>
  <sheetData>
    <row r="1" spans="1:25" x14ac:dyDescent="0.25">
      <c r="A1" s="84" t="s">
        <v>56</v>
      </c>
      <c r="B1" s="84" t="s">
        <v>57</v>
      </c>
      <c r="C1" s="84" t="s">
        <v>58</v>
      </c>
      <c r="D1" s="84" t="s">
        <v>59</v>
      </c>
      <c r="E1" s="135" t="s">
        <v>80</v>
      </c>
      <c r="F1" s="136"/>
      <c r="G1" s="85" t="s">
        <v>81</v>
      </c>
      <c r="I1" s="131" t="s">
        <v>87</v>
      </c>
      <c r="K1" s="58" t="s">
        <v>88</v>
      </c>
      <c r="M1" s="58" t="s">
        <v>89</v>
      </c>
      <c r="O1" s="58" t="s">
        <v>56</v>
      </c>
      <c r="Q1" s="58" t="s">
        <v>57</v>
      </c>
      <c r="S1" s="58" t="s">
        <v>58</v>
      </c>
      <c r="U1" s="58" t="s">
        <v>59</v>
      </c>
      <c r="W1" s="58" t="s">
        <v>90</v>
      </c>
      <c r="Y1" s="58" t="s">
        <v>91</v>
      </c>
    </row>
    <row r="2" spans="1:25" x14ac:dyDescent="0.25">
      <c r="A2" s="82"/>
      <c r="B2" s="82">
        <f>24+9</f>
        <v>33</v>
      </c>
      <c r="C2" s="82"/>
      <c r="D2" s="82"/>
      <c r="E2" s="82"/>
      <c r="F2" s="136"/>
      <c r="G2" s="82"/>
      <c r="I2" s="132"/>
      <c r="K2" s="5"/>
      <c r="M2" s="5"/>
      <c r="O2" s="5"/>
      <c r="Q2" s="5"/>
      <c r="S2" s="5"/>
      <c r="U2" s="5"/>
      <c r="W2" s="5"/>
      <c r="Y2" s="5"/>
    </row>
    <row r="3" spans="1:25" x14ac:dyDescent="0.25">
      <c r="A3" s="82"/>
      <c r="B3" s="82"/>
      <c r="C3" s="82"/>
      <c r="D3" s="82"/>
      <c r="E3" s="82"/>
      <c r="F3" s="136"/>
      <c r="G3" s="82">
        <f>14</f>
        <v>14</v>
      </c>
      <c r="H3" s="84" t="s">
        <v>101</v>
      </c>
      <c r="I3" s="132"/>
      <c r="K3" s="5"/>
      <c r="M3" s="5"/>
      <c r="O3" s="5"/>
      <c r="Q3" s="5"/>
      <c r="S3" s="5"/>
      <c r="U3" s="5"/>
      <c r="W3" s="5"/>
      <c r="Y3" s="5"/>
    </row>
    <row r="4" spans="1:25" x14ac:dyDescent="0.25">
      <c r="A4" s="82"/>
      <c r="B4" s="82"/>
      <c r="C4" s="82"/>
      <c r="D4" s="82"/>
      <c r="E4" s="82"/>
      <c r="F4" s="136"/>
      <c r="G4" s="82"/>
      <c r="I4" s="132"/>
      <c r="K4" s="5"/>
      <c r="M4" s="5"/>
      <c r="O4" s="5"/>
      <c r="Q4" s="5"/>
      <c r="S4" s="5"/>
      <c r="U4" s="5"/>
      <c r="W4" s="5"/>
      <c r="Y4" s="5"/>
    </row>
    <row r="5" spans="1:25" x14ac:dyDescent="0.25">
      <c r="A5" s="82"/>
      <c r="B5" s="82"/>
      <c r="C5" s="82"/>
      <c r="D5" s="82"/>
      <c r="E5" s="82"/>
      <c r="F5" s="136"/>
      <c r="G5" s="82"/>
      <c r="I5" s="132"/>
      <c r="K5" s="5"/>
      <c r="M5" s="5"/>
      <c r="O5" s="5"/>
      <c r="Q5" s="5"/>
      <c r="S5" s="5"/>
      <c r="U5" s="5"/>
      <c r="W5" s="5"/>
      <c r="Y5" s="5"/>
    </row>
    <row r="6" spans="1:25" x14ac:dyDescent="0.25">
      <c r="A6" s="82">
        <f>10+88.47+20</f>
        <v>118.47</v>
      </c>
      <c r="B6" s="82">
        <v>50.68</v>
      </c>
      <c r="C6" s="82"/>
      <c r="D6" s="82"/>
      <c r="E6" s="82"/>
      <c r="F6" s="136"/>
      <c r="G6" s="82"/>
      <c r="I6" s="132"/>
      <c r="K6" s="5"/>
      <c r="M6" s="5"/>
      <c r="O6" s="5"/>
      <c r="Q6" s="5"/>
      <c r="S6" s="5"/>
      <c r="U6" s="5"/>
      <c r="W6" s="5"/>
      <c r="Y6" s="5"/>
    </row>
    <row r="7" spans="1:25" x14ac:dyDescent="0.25">
      <c r="A7" s="82">
        <f>59.99+95.21+1.65+2.43+5.73+265</f>
        <v>430.01</v>
      </c>
      <c r="B7" s="82">
        <f>19.99</f>
        <v>19.989999999999998</v>
      </c>
      <c r="C7" s="82"/>
      <c r="D7" s="82"/>
      <c r="E7" s="82"/>
      <c r="F7" s="136"/>
      <c r="G7" s="82"/>
      <c r="I7" s="132"/>
      <c r="K7" s="5"/>
      <c r="M7" s="5"/>
      <c r="O7" s="5"/>
      <c r="Q7" s="5"/>
      <c r="S7" s="5"/>
      <c r="U7" s="5"/>
      <c r="W7" s="5"/>
      <c r="Y7" s="5"/>
    </row>
    <row r="8" spans="1:25" x14ac:dyDescent="0.25">
      <c r="A8" s="82"/>
      <c r="B8" s="82"/>
      <c r="C8" s="82"/>
      <c r="D8" s="82"/>
      <c r="E8" s="82"/>
      <c r="F8" s="136"/>
      <c r="G8" s="82">
        <f>0.82+1.14+1</f>
        <v>2.96</v>
      </c>
      <c r="I8" s="132"/>
      <c r="K8" s="5"/>
      <c r="M8" s="5"/>
      <c r="O8" s="5"/>
      <c r="Q8" s="5"/>
      <c r="S8" s="5"/>
      <c r="U8" s="5"/>
      <c r="W8" s="5"/>
      <c r="Y8" s="5"/>
    </row>
    <row r="9" spans="1:25" x14ac:dyDescent="0.25">
      <c r="A9" s="82"/>
      <c r="B9" s="82"/>
      <c r="C9" s="82"/>
      <c r="D9" s="82"/>
      <c r="E9" s="82"/>
      <c r="F9" s="136"/>
      <c r="G9" s="82"/>
      <c r="I9" s="132"/>
      <c r="K9" s="5"/>
      <c r="M9" s="5"/>
      <c r="O9" s="5"/>
      <c r="Q9" s="5"/>
      <c r="S9" s="5"/>
      <c r="U9" s="5"/>
      <c r="W9" s="5"/>
      <c r="Y9" s="5"/>
    </row>
    <row r="10" spans="1:25" x14ac:dyDescent="0.25">
      <c r="A10" s="82"/>
      <c r="B10" s="82"/>
      <c r="C10" s="82"/>
      <c r="D10" s="82"/>
      <c r="E10" s="82"/>
      <c r="F10" s="136"/>
      <c r="G10" s="82"/>
      <c r="I10" s="132"/>
      <c r="K10" s="5"/>
      <c r="M10" s="5"/>
      <c r="O10" s="5"/>
      <c r="Q10" s="5"/>
      <c r="S10" s="5"/>
      <c r="U10" s="5"/>
      <c r="W10" s="5"/>
      <c r="Y10" s="5"/>
    </row>
    <row r="11" spans="1:25" x14ac:dyDescent="0.25">
      <c r="A11" s="82"/>
      <c r="B11" s="82"/>
      <c r="C11" s="82"/>
      <c r="D11" s="82"/>
      <c r="E11" s="82"/>
      <c r="F11" s="136"/>
      <c r="G11" s="82">
        <f>5+15</f>
        <v>20</v>
      </c>
      <c r="I11" s="132"/>
      <c r="K11" s="5"/>
      <c r="M11" s="5"/>
      <c r="O11" s="5"/>
      <c r="Q11" s="5"/>
      <c r="S11" s="5"/>
      <c r="U11" s="5"/>
      <c r="W11" s="5"/>
      <c r="Y11" s="5"/>
    </row>
    <row r="12" spans="1:25" x14ac:dyDescent="0.25">
      <c r="A12" s="82"/>
      <c r="B12" s="82">
        <f>6.03+23</f>
        <v>29.03</v>
      </c>
      <c r="C12" s="82"/>
      <c r="D12" s="82"/>
      <c r="E12" s="82"/>
      <c r="F12" s="136"/>
      <c r="G12" s="82"/>
      <c r="I12" s="132"/>
      <c r="K12" s="5"/>
      <c r="M12" s="5"/>
      <c r="O12" s="5"/>
      <c r="Q12" s="5"/>
      <c r="S12" s="5"/>
      <c r="U12" s="5"/>
      <c r="W12" s="5"/>
      <c r="Y12" s="5"/>
    </row>
    <row r="13" spans="1:25" x14ac:dyDescent="0.25">
      <c r="A13" s="82"/>
      <c r="B13" s="82">
        <f>17.83</f>
        <v>17.829999999999998</v>
      </c>
      <c r="C13" s="82"/>
      <c r="D13" s="82"/>
      <c r="E13" s="82"/>
      <c r="F13" s="136"/>
      <c r="G13" s="82"/>
      <c r="I13" s="132"/>
      <c r="K13" s="5"/>
      <c r="M13" s="5"/>
      <c r="O13" s="5"/>
      <c r="Q13" s="5"/>
      <c r="S13" s="5"/>
      <c r="U13" s="5"/>
      <c r="W13" s="5"/>
      <c r="Y13" s="5"/>
    </row>
    <row r="14" spans="1:25" x14ac:dyDescent="0.25">
      <c r="A14" s="82"/>
      <c r="B14" s="82">
        <f>15</f>
        <v>15</v>
      </c>
      <c r="C14" s="82"/>
      <c r="D14" s="82"/>
      <c r="E14" s="82"/>
      <c r="F14" s="136"/>
      <c r="G14" s="82"/>
      <c r="I14" s="132"/>
      <c r="K14" s="5"/>
      <c r="M14" s="5"/>
      <c r="O14" s="5"/>
      <c r="Q14" s="5"/>
      <c r="S14" s="5"/>
      <c r="U14" s="5"/>
      <c r="W14" s="5"/>
      <c r="Y14" s="5"/>
    </row>
    <row r="15" spans="1:25" x14ac:dyDescent="0.25">
      <c r="A15" s="82"/>
      <c r="B15" s="82">
        <f>28.3</f>
        <v>28.3</v>
      </c>
      <c r="C15" s="82"/>
      <c r="D15" s="82"/>
      <c r="E15" s="82"/>
      <c r="F15" s="136"/>
      <c r="G15" s="82"/>
      <c r="I15" s="132"/>
      <c r="K15" s="5"/>
      <c r="M15" s="5"/>
      <c r="O15" s="5"/>
      <c r="Q15" s="5"/>
      <c r="S15" s="5"/>
      <c r="U15" s="5"/>
      <c r="W15" s="5"/>
      <c r="Y15" s="5"/>
    </row>
    <row r="16" spans="1:25" x14ac:dyDescent="0.25">
      <c r="A16" s="82">
        <f>55</f>
        <v>55</v>
      </c>
      <c r="B16" s="82"/>
      <c r="C16" s="82"/>
      <c r="D16" s="82"/>
      <c r="E16" s="82"/>
      <c r="F16" s="136"/>
      <c r="G16" s="82"/>
      <c r="I16" s="132"/>
      <c r="K16" s="5"/>
      <c r="M16" s="5"/>
      <c r="O16" s="5"/>
      <c r="Q16" s="5"/>
      <c r="S16" s="5"/>
      <c r="U16" s="5"/>
      <c r="W16" s="5"/>
      <c r="Y16" s="5"/>
    </row>
    <row r="17" spans="1:25" x14ac:dyDescent="0.25">
      <c r="A17" s="82"/>
      <c r="B17" s="82">
        <f>7.9</f>
        <v>7.9</v>
      </c>
      <c r="C17" s="82"/>
      <c r="D17" s="82"/>
      <c r="E17" s="82"/>
      <c r="F17" s="136"/>
      <c r="G17" s="82">
        <f>1.17+1.14+0.82</f>
        <v>3.1299999999999994</v>
      </c>
      <c r="I17" s="132"/>
      <c r="K17" s="5"/>
      <c r="M17" s="5"/>
      <c r="O17" s="5"/>
      <c r="Q17" s="5"/>
      <c r="S17" s="5"/>
      <c r="U17" s="5"/>
      <c r="W17" s="5"/>
      <c r="Y17" s="5"/>
    </row>
    <row r="18" spans="1:25" x14ac:dyDescent="0.25">
      <c r="A18" s="82"/>
      <c r="B18" s="82"/>
      <c r="C18" s="82"/>
      <c r="D18" s="82"/>
      <c r="E18" s="82"/>
      <c r="F18" s="136"/>
      <c r="G18" s="82"/>
      <c r="I18" s="132"/>
      <c r="K18" s="5"/>
      <c r="M18" s="5"/>
      <c r="O18" s="5"/>
      <c r="Q18" s="5"/>
      <c r="S18" s="5"/>
      <c r="U18" s="5"/>
      <c r="W18" s="5"/>
      <c r="Y18" s="5"/>
    </row>
    <row r="19" spans="1:25" x14ac:dyDescent="0.25">
      <c r="A19" s="82"/>
      <c r="B19" s="82"/>
      <c r="C19" s="82"/>
      <c r="D19" s="82"/>
      <c r="E19" s="82"/>
      <c r="F19" s="136"/>
      <c r="G19" s="82"/>
      <c r="I19" s="132"/>
      <c r="K19" s="5"/>
      <c r="M19" s="5"/>
      <c r="O19" s="5"/>
      <c r="Q19" s="5"/>
      <c r="S19" s="5"/>
      <c r="U19" s="5"/>
      <c r="W19" s="5"/>
      <c r="Y19" s="5"/>
    </row>
    <row r="20" spans="1:25" x14ac:dyDescent="0.25">
      <c r="A20" s="82">
        <v>2.2400000000000002</v>
      </c>
      <c r="B20" s="82"/>
      <c r="C20" s="82">
        <v>25</v>
      </c>
      <c r="D20" s="82"/>
      <c r="E20" s="82"/>
      <c r="F20" s="136"/>
      <c r="G20" s="82"/>
      <c r="I20" s="132"/>
      <c r="K20" s="5"/>
      <c r="M20" s="5"/>
      <c r="O20" s="5"/>
      <c r="Q20" s="5"/>
      <c r="S20" s="5"/>
      <c r="U20" s="5"/>
      <c r="W20" s="5"/>
      <c r="Y20" s="5"/>
    </row>
    <row r="21" spans="1:25" x14ac:dyDescent="0.25">
      <c r="A21" s="82"/>
      <c r="B21" s="82"/>
      <c r="C21" s="82"/>
      <c r="D21" s="82"/>
      <c r="E21" s="82"/>
      <c r="F21" s="136"/>
      <c r="G21" s="82"/>
      <c r="I21" s="132"/>
      <c r="K21" s="5"/>
      <c r="M21" s="5"/>
      <c r="O21" s="5"/>
      <c r="Q21" s="5"/>
      <c r="S21" s="5"/>
      <c r="U21" s="5"/>
      <c r="W21" s="5"/>
      <c r="Y21" s="5"/>
    </row>
    <row r="22" spans="1:25" x14ac:dyDescent="0.25">
      <c r="A22" s="82"/>
      <c r="B22" s="82"/>
      <c r="C22" s="82"/>
      <c r="D22" s="82"/>
      <c r="E22" s="82"/>
      <c r="F22" s="136"/>
      <c r="G22" s="82"/>
      <c r="I22" s="132"/>
      <c r="K22" s="5"/>
      <c r="M22" s="5"/>
      <c r="O22" s="5"/>
      <c r="Q22" s="5"/>
      <c r="S22" s="5"/>
      <c r="U22" s="5"/>
      <c r="W22" s="5"/>
      <c r="Y22" s="5"/>
    </row>
    <row r="23" spans="1:25" x14ac:dyDescent="0.25">
      <c r="A23" s="82"/>
      <c r="B23" s="82">
        <v>7.78</v>
      </c>
      <c r="C23" s="82"/>
      <c r="D23" s="82"/>
      <c r="E23" s="82"/>
      <c r="F23" s="136"/>
      <c r="G23" s="82"/>
      <c r="I23" s="132"/>
      <c r="K23" s="5"/>
      <c r="M23" s="5"/>
      <c r="O23" s="5"/>
      <c r="Q23" s="5"/>
      <c r="S23" s="5"/>
      <c r="U23" s="5"/>
      <c r="W23" s="5"/>
      <c r="Y23" s="5"/>
    </row>
    <row r="24" spans="1:25" x14ac:dyDescent="0.25">
      <c r="A24" s="82"/>
      <c r="B24" s="82"/>
      <c r="C24" s="82"/>
      <c r="D24" s="82"/>
      <c r="E24" s="82"/>
      <c r="F24" s="136"/>
      <c r="G24" s="82"/>
      <c r="I24" s="132"/>
      <c r="K24" s="5"/>
      <c r="M24" s="5"/>
      <c r="O24" s="5"/>
      <c r="Q24" s="5"/>
      <c r="S24" s="5"/>
      <c r="U24" s="5"/>
      <c r="W24" s="5"/>
      <c r="Y24" s="5"/>
    </row>
    <row r="25" spans="1:25" x14ac:dyDescent="0.25">
      <c r="A25" s="82"/>
      <c r="B25" s="82"/>
      <c r="C25" s="82"/>
      <c r="D25" s="82"/>
      <c r="E25" s="82"/>
      <c r="F25" s="136"/>
      <c r="G25" s="82"/>
      <c r="I25" s="132"/>
      <c r="K25" s="5"/>
      <c r="M25" s="5"/>
      <c r="O25" s="5"/>
      <c r="Q25" s="5"/>
      <c r="S25" s="5"/>
      <c r="U25" s="5"/>
      <c r="W25" s="5"/>
      <c r="Y25" s="5"/>
    </row>
    <row r="26" spans="1:25" x14ac:dyDescent="0.25">
      <c r="A26" s="82"/>
      <c r="B26" s="82"/>
      <c r="C26" s="82"/>
      <c r="D26" s="82"/>
      <c r="E26" s="82"/>
      <c r="F26" s="136"/>
      <c r="G26" s="82">
        <f>32</f>
        <v>32</v>
      </c>
      <c r="I26" s="132"/>
      <c r="K26" s="5"/>
      <c r="M26" s="5"/>
      <c r="O26" s="5"/>
      <c r="Q26" s="5"/>
      <c r="S26" s="5"/>
      <c r="U26" s="5"/>
      <c r="W26" s="5"/>
      <c r="Y26" s="5"/>
    </row>
    <row r="27" spans="1:25" x14ac:dyDescent="0.25">
      <c r="A27" s="82"/>
      <c r="B27" s="82"/>
      <c r="C27" s="82"/>
      <c r="D27" s="82"/>
      <c r="E27" s="82"/>
      <c r="F27" s="136"/>
      <c r="G27" s="82"/>
      <c r="I27" s="132"/>
      <c r="K27" s="5"/>
      <c r="M27" s="5"/>
      <c r="O27" s="5"/>
      <c r="Q27" s="5"/>
      <c r="S27" s="5"/>
      <c r="U27" s="5"/>
      <c r="W27" s="5"/>
      <c r="Y27" s="5"/>
    </row>
    <row r="28" spans="1:25" x14ac:dyDescent="0.25">
      <c r="A28" s="82"/>
      <c r="B28" s="82"/>
      <c r="C28" s="82"/>
      <c r="D28" s="82"/>
      <c r="E28" s="82"/>
      <c r="F28" s="136"/>
      <c r="G28" s="82"/>
      <c r="I28" s="132"/>
      <c r="K28" s="5"/>
      <c r="M28" s="5"/>
      <c r="O28" s="5"/>
      <c r="Q28" s="5"/>
      <c r="S28" s="5"/>
      <c r="U28" s="5"/>
      <c r="W28" s="5"/>
      <c r="Y28" s="5"/>
    </row>
    <row r="29" spans="1:25" x14ac:dyDescent="0.25">
      <c r="A29" s="82"/>
      <c r="B29" s="82"/>
      <c r="C29" s="82"/>
      <c r="D29" s="82"/>
      <c r="E29" s="82"/>
      <c r="F29" s="136"/>
      <c r="G29" s="82"/>
      <c r="I29" s="132"/>
      <c r="K29" s="5"/>
      <c r="M29" s="5"/>
      <c r="O29" s="5"/>
      <c r="Q29" s="5"/>
      <c r="S29" s="5"/>
      <c r="U29" s="5"/>
      <c r="W29" s="5"/>
      <c r="Y29" s="5"/>
    </row>
    <row r="30" spans="1:25" x14ac:dyDescent="0.25">
      <c r="A30" s="82"/>
      <c r="B30" s="82"/>
      <c r="C30" s="82"/>
      <c r="D30" s="82"/>
      <c r="E30" s="82"/>
      <c r="F30" s="136"/>
      <c r="G30" s="82">
        <f>482+40</f>
        <v>522</v>
      </c>
      <c r="H30" s="84" t="s">
        <v>99</v>
      </c>
      <c r="I30" s="132"/>
      <c r="K30" s="5"/>
      <c r="M30" s="5"/>
      <c r="O30" s="5"/>
      <c r="Q30" s="5"/>
      <c r="S30" s="5"/>
      <c r="U30" s="5"/>
      <c r="W30" s="5"/>
      <c r="Y30" s="5"/>
    </row>
    <row r="31" spans="1:25" x14ac:dyDescent="0.25">
      <c r="A31" s="82"/>
      <c r="B31" s="82"/>
      <c r="C31" s="82"/>
      <c r="D31" s="82"/>
      <c r="E31" s="82"/>
      <c r="F31" s="136"/>
      <c r="G31" s="82"/>
      <c r="I31" s="132"/>
      <c r="K31" s="5"/>
      <c r="M31" s="5"/>
      <c r="O31" s="5"/>
      <c r="Q31" s="5"/>
      <c r="S31" s="5"/>
      <c r="U31" s="5"/>
      <c r="W31" s="5"/>
      <c r="Y31" s="5"/>
    </row>
    <row r="32" spans="1:25" ht="15.75" thickBot="1" x14ac:dyDescent="0.3">
      <c r="A32" s="137"/>
      <c r="B32" s="82"/>
      <c r="C32" s="82"/>
      <c r="D32" s="82"/>
      <c r="E32" s="82"/>
      <c r="F32" s="136"/>
      <c r="G32" s="82"/>
      <c r="I32" s="132"/>
      <c r="K32" s="5"/>
      <c r="M32" s="5"/>
      <c r="O32" s="5"/>
      <c r="Q32" s="5"/>
      <c r="S32" s="5"/>
      <c r="U32" s="5"/>
      <c r="W32" s="5"/>
      <c r="Y32" s="5"/>
    </row>
    <row r="33" spans="1:25" ht="15.75" thickBot="1" x14ac:dyDescent="0.3">
      <c r="A33" s="138">
        <f>SUM(A2:A32)</f>
        <v>605.72</v>
      </c>
      <c r="B33" s="138">
        <f t="shared" ref="B33:E33" si="0">SUM(B2:B32)</f>
        <v>209.51</v>
      </c>
      <c r="C33" s="138">
        <f t="shared" si="0"/>
        <v>25</v>
      </c>
      <c r="D33" s="138">
        <f t="shared" si="0"/>
        <v>0</v>
      </c>
      <c r="E33" s="139">
        <f t="shared" si="0"/>
        <v>0</v>
      </c>
      <c r="F33" s="136"/>
      <c r="G33" s="83">
        <f t="shared" ref="G33" si="1">SUM(G2:G32)</f>
        <v>594.09</v>
      </c>
      <c r="I33" s="133">
        <f t="shared" ref="I33" si="2">SUM(I2:I32)</f>
        <v>0</v>
      </c>
      <c r="K33" s="56">
        <f t="shared" ref="K33" si="3">SUM(K2:K32)</f>
        <v>0</v>
      </c>
      <c r="M33" s="56">
        <f t="shared" ref="M33" si="4">SUM(M2:M32)</f>
        <v>0</v>
      </c>
      <c r="O33" s="56">
        <f t="shared" ref="O33" si="5">SUM(O2:O32)</f>
        <v>0</v>
      </c>
      <c r="Q33" s="56">
        <f t="shared" ref="Q33" si="6">SUM(Q2:Q32)</f>
        <v>0</v>
      </c>
      <c r="S33" s="56">
        <f t="shared" ref="S33" si="7">SUM(S2:S32)</f>
        <v>0</v>
      </c>
      <c r="U33" s="56">
        <f t="shared" ref="U33" si="8">SUM(U2:U32)</f>
        <v>0</v>
      </c>
      <c r="W33" s="56">
        <f t="shared" ref="W33" si="9">SUM(W2:W32)</f>
        <v>0</v>
      </c>
      <c r="Y33" s="56">
        <f t="shared" ref="Y33" si="10">SUM(Y2:Y32)</f>
        <v>0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>
      <selection activeCell="C13" sqref="C13"/>
    </sheetView>
  </sheetViews>
  <sheetFormatPr defaultRowHeight="15" x14ac:dyDescent="0.25"/>
  <cols>
    <col min="1" max="1" width="25.140625" style="53" customWidth="1"/>
    <col min="2" max="2" width="7.7109375" style="5" bestFit="1" customWidth="1"/>
    <col min="3" max="3" width="10.140625" style="5" bestFit="1" customWidth="1"/>
    <col min="4" max="4" width="11.42578125" customWidth="1"/>
  </cols>
  <sheetData>
    <row r="1" spans="1:5" x14ac:dyDescent="0.25">
      <c r="A1" s="53" t="s">
        <v>60</v>
      </c>
      <c r="B1" s="37" t="s">
        <v>61</v>
      </c>
      <c r="C1" s="37" t="s">
        <v>62</v>
      </c>
      <c r="D1" s="52" t="s">
        <v>69</v>
      </c>
    </row>
    <row r="2" spans="1:5" ht="30" x14ac:dyDescent="0.25">
      <c r="A2" s="53" t="s">
        <v>66</v>
      </c>
      <c r="B2" s="42">
        <v>700</v>
      </c>
      <c r="C2" s="43">
        <v>45301</v>
      </c>
      <c r="D2">
        <f>SUM(B$2:B$1048576)</f>
        <v>4148</v>
      </c>
    </row>
    <row r="3" spans="1:5" x14ac:dyDescent="0.25">
      <c r="A3" s="53" t="s">
        <v>65</v>
      </c>
      <c r="B3" s="39">
        <v>120</v>
      </c>
      <c r="C3" s="40">
        <v>45337</v>
      </c>
    </row>
    <row r="4" spans="1:5" x14ac:dyDescent="0.25">
      <c r="A4" s="53" t="s">
        <v>63</v>
      </c>
      <c r="B4" s="5">
        <v>610</v>
      </c>
      <c r="C4" s="38">
        <v>45348</v>
      </c>
    </row>
    <row r="5" spans="1:5" x14ac:dyDescent="0.25">
      <c r="A5" s="53" t="s">
        <v>64</v>
      </c>
      <c r="B5" s="5">
        <v>300</v>
      </c>
      <c r="C5" s="38">
        <v>45366</v>
      </c>
    </row>
    <row r="6" spans="1:5" x14ac:dyDescent="0.25">
      <c r="A6" s="53" t="s">
        <v>67</v>
      </c>
      <c r="B6" s="5">
        <v>167</v>
      </c>
      <c r="C6" s="38">
        <v>45374</v>
      </c>
      <c r="E6" s="41"/>
    </row>
    <row r="7" spans="1:5" x14ac:dyDescent="0.25">
      <c r="A7" s="53" t="s">
        <v>68</v>
      </c>
      <c r="B7" s="5">
        <v>40</v>
      </c>
      <c r="C7" s="38">
        <v>45392</v>
      </c>
    </row>
    <row r="8" spans="1:5" ht="20.25" customHeight="1" x14ac:dyDescent="0.25">
      <c r="A8" s="53" t="s">
        <v>73</v>
      </c>
      <c r="B8" s="5">
        <v>126</v>
      </c>
      <c r="C8" s="38">
        <v>45397</v>
      </c>
    </row>
    <row r="9" spans="1:5" ht="60" x14ac:dyDescent="0.25">
      <c r="A9" s="53" t="s">
        <v>74</v>
      </c>
      <c r="B9" s="5">
        <v>550</v>
      </c>
      <c r="C9" s="38">
        <v>45463</v>
      </c>
    </row>
    <row r="10" spans="1:5" x14ac:dyDescent="0.25">
      <c r="A10" s="54" t="s">
        <v>76</v>
      </c>
      <c r="B10" s="5">
        <v>855</v>
      </c>
      <c r="C10" s="38">
        <v>45483</v>
      </c>
      <c r="D10" t="s">
        <v>77</v>
      </c>
    </row>
    <row r="11" spans="1:5" ht="90" x14ac:dyDescent="0.25">
      <c r="A11" s="53" t="s">
        <v>75</v>
      </c>
      <c r="B11" s="5">
        <f>38+57+240+40</f>
        <v>375</v>
      </c>
      <c r="C11" s="38">
        <v>45498</v>
      </c>
    </row>
    <row r="12" spans="1:5" ht="60" x14ac:dyDescent="0.25">
      <c r="A12" s="57" t="s">
        <v>82</v>
      </c>
      <c r="B12" s="5">
        <v>142.4</v>
      </c>
      <c r="C12" s="38">
        <v>45558</v>
      </c>
    </row>
    <row r="13" spans="1:5" x14ac:dyDescent="0.25">
      <c r="A13" s="140" t="s">
        <v>102</v>
      </c>
      <c r="B13" s="5">
        <v>162.6</v>
      </c>
      <c r="C13" s="38">
        <v>45619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Общее</vt:lpstr>
      <vt:lpstr>Отдых</vt:lpstr>
      <vt:lpstr>Еда</vt:lpstr>
      <vt:lpstr>Одежда</vt:lpstr>
      <vt:lpstr>Заправка</vt:lpstr>
      <vt:lpstr>Зайка</vt:lpstr>
      <vt:lpstr>Вовчик</vt:lpstr>
      <vt:lpstr>Непредвиденные</vt:lpstr>
      <vt:lpstr>Машина 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User</cp:lastModifiedBy>
  <dcterms:created xsi:type="dcterms:W3CDTF">2022-05-22T17:47:32Z</dcterms:created>
  <dcterms:modified xsi:type="dcterms:W3CDTF">2024-12-01T19:49:01Z</dcterms:modified>
</cp:coreProperties>
</file>